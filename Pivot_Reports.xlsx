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24226"/>
  <mc:AlternateContent xmlns:mc="http://schemas.openxmlformats.org/markup-compatibility/2006">
    <mc:Choice Requires="x15">
      <x15ac:absPath xmlns:x15ac="http://schemas.microsoft.com/office/spreadsheetml/2010/11/ac" url="C:\Users\Siddhesh\Downloads\TASK -2\"/>
    </mc:Choice>
  </mc:AlternateContent>
  <xr:revisionPtr revIDLastSave="0" documentId="13_ncr:1_{0755383F-4623-4AC1-A68D-2C34CEB73111}" xr6:coauthVersionLast="47" xr6:coauthVersionMax="47" xr10:uidLastSave="{00000000-0000-0000-0000-000000000000}"/>
  <bookViews>
    <workbookView xWindow="-108" yWindow="-108" windowWidth="23256" windowHeight="13176" xr2:uid="{00000000-000D-0000-FFFF-FFFF00000000}"/>
  </bookViews>
  <sheets>
    <sheet name="RAW DATA" sheetId="1" r:id="rId1"/>
    <sheet name="Pivot_Report" sheetId="2" r:id="rId2"/>
    <sheet name="DASHBOARD" sheetId="6" r:id="rId3"/>
    <sheet name="Insights" sheetId="7" r:id="rId4"/>
  </sheets>
  <definedNames>
    <definedName name="Slicer_Category">#N/A</definedName>
    <definedName name="Slicer_Region">#N/A</definedName>
    <definedName name="Slicer_Segment">#N/A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2" i="1"/>
</calcChain>
</file>

<file path=xl/sharedStrings.xml><?xml version="1.0" encoding="utf-8"?>
<sst xmlns="http://schemas.openxmlformats.org/spreadsheetml/2006/main" count="4054" uniqueCount="431">
  <si>
    <t>Order ID</t>
  </si>
  <si>
    <t>Order Date</t>
  </si>
  <si>
    <t>Region</t>
  </si>
  <si>
    <t>Category</t>
  </si>
  <si>
    <t>Segment</t>
  </si>
  <si>
    <t>Sales</t>
  </si>
  <si>
    <t>Profit</t>
  </si>
  <si>
    <t>2024-03-03</t>
  </si>
  <si>
    <t>2023-03-05</t>
  </si>
  <si>
    <t>2023-06-25</t>
  </si>
  <si>
    <t>2023-09-04</t>
  </si>
  <si>
    <t>2023-03-21</t>
  </si>
  <si>
    <t>2024-01-26</t>
  </si>
  <si>
    <t>2024-03-07</t>
  </si>
  <si>
    <t>2023-09-02</t>
  </si>
  <si>
    <t>2024-03-14</t>
  </si>
  <si>
    <t>2023-05-01</t>
  </si>
  <si>
    <t>2023-01-16</t>
  </si>
  <si>
    <t>2024-02-12</t>
  </si>
  <si>
    <t>2023-05-06</t>
  </si>
  <si>
    <t>2023-02-11</t>
  </si>
  <si>
    <t>2023-11-26</t>
  </si>
  <si>
    <t>2023-12-26</t>
  </si>
  <si>
    <t>2024-02-16</t>
  </si>
  <si>
    <t>2024-02-09</t>
  </si>
  <si>
    <t>2023-03-13</t>
  </si>
  <si>
    <t>2023-08-29</t>
  </si>
  <si>
    <t>2023-03-29</t>
  </si>
  <si>
    <t>2023-10-24</t>
  </si>
  <si>
    <t>2023-03-04</t>
  </si>
  <si>
    <t>2024-01-23</t>
  </si>
  <si>
    <t>2023-07-29</t>
  </si>
  <si>
    <t>2024-01-17</t>
  </si>
  <si>
    <t>2024-02-01</t>
  </si>
  <si>
    <t>2023-07-10</t>
  </si>
  <si>
    <t>2023-09-06</t>
  </si>
  <si>
    <t>2023-04-13</t>
  </si>
  <si>
    <t>2024-03-12</t>
  </si>
  <si>
    <t>2023-04-08</t>
  </si>
  <si>
    <t>2023-06-13</t>
  </si>
  <si>
    <t>2023-06-20</t>
  </si>
  <si>
    <t>2023-01-23</t>
  </si>
  <si>
    <t>2023-02-17</t>
  </si>
  <si>
    <t>2023-10-02</t>
  </si>
  <si>
    <t>2023-04-20</t>
  </si>
  <si>
    <t>2023-03-27</t>
  </si>
  <si>
    <t>2023-07-05</t>
  </si>
  <si>
    <t>2023-12-04</t>
  </si>
  <si>
    <t>2024-01-29</t>
  </si>
  <si>
    <t>2023-06-19</t>
  </si>
  <si>
    <t>2024-02-24</t>
  </si>
  <si>
    <t>2023-09-28</t>
  </si>
  <si>
    <t>2023-10-03</t>
  </si>
  <si>
    <t>2023-10-10</t>
  </si>
  <si>
    <t>2023-06-03</t>
  </si>
  <si>
    <t>2023-03-17</t>
  </si>
  <si>
    <t>2023-08-05</t>
  </si>
  <si>
    <t>2023-01-03</t>
  </si>
  <si>
    <t>2023-07-06</t>
  </si>
  <si>
    <t>2023-03-01</t>
  </si>
  <si>
    <t>2023-10-29</t>
  </si>
  <si>
    <t>2023-08-28</t>
  </si>
  <si>
    <t>2023-07-08</t>
  </si>
  <si>
    <t>2023-06-17</t>
  </si>
  <si>
    <t>2023-10-19</t>
  </si>
  <si>
    <t>2023-05-10</t>
  </si>
  <si>
    <t>2023-08-11</t>
  </si>
  <si>
    <t>2023-08-04</t>
  </si>
  <si>
    <t>2023-03-31</t>
  </si>
  <si>
    <t>2023-04-25</t>
  </si>
  <si>
    <t>2023-04-17</t>
  </si>
  <si>
    <t>2024-01-07</t>
  </si>
  <si>
    <t>2023-02-24</t>
  </si>
  <si>
    <t>2023-04-04</t>
  </si>
  <si>
    <t>2024-01-05</t>
  </si>
  <si>
    <t>2023-01-18</t>
  </si>
  <si>
    <t>2024-03-06</t>
  </si>
  <si>
    <t>2024-01-09</t>
  </si>
  <si>
    <t>2023-10-08</t>
  </si>
  <si>
    <t>2023-02-21</t>
  </si>
  <si>
    <t>2023-11-10</t>
  </si>
  <si>
    <t>2023-03-23</t>
  </si>
  <si>
    <t>2023-10-31</t>
  </si>
  <si>
    <t>2024-02-06</t>
  </si>
  <si>
    <t>2023-10-12</t>
  </si>
  <si>
    <t>2023-01-19</t>
  </si>
  <si>
    <t>2024-03-04</t>
  </si>
  <si>
    <t>2023-01-05</t>
  </si>
  <si>
    <t>2024-03-02</t>
  </si>
  <si>
    <t>2023-02-03</t>
  </si>
  <si>
    <t>2023-05-29</t>
  </si>
  <si>
    <t>2023-10-01</t>
  </si>
  <si>
    <t>2024-01-03</t>
  </si>
  <si>
    <t>2023-11-25</t>
  </si>
  <si>
    <t>2023-02-10</t>
  </si>
  <si>
    <t>2024-03-24</t>
  </si>
  <si>
    <t>2023-04-05</t>
  </si>
  <si>
    <t>2023-12-29</t>
  </si>
  <si>
    <t>2023-11-20</t>
  </si>
  <si>
    <t>2023-08-22</t>
  </si>
  <si>
    <t>2023-11-27</t>
  </si>
  <si>
    <t>2023-06-14</t>
  </si>
  <si>
    <t>2023-11-29</t>
  </si>
  <si>
    <t>2023-07-15</t>
  </si>
  <si>
    <t>2023-07-14</t>
  </si>
  <si>
    <t>2023-01-10</t>
  </si>
  <si>
    <t>2023-01-26</t>
  </si>
  <si>
    <t>2023-08-20</t>
  </si>
  <si>
    <t>2023-08-26</t>
  </si>
  <si>
    <t>2023-04-23</t>
  </si>
  <si>
    <t>2023-07-11</t>
  </si>
  <si>
    <t>2023-09-03</t>
  </si>
  <si>
    <t>2023-08-18</t>
  </si>
  <si>
    <t>2023-06-09</t>
  </si>
  <si>
    <t>2023-07-26</t>
  </si>
  <si>
    <t>2023-08-01</t>
  </si>
  <si>
    <t>2024-01-02</t>
  </si>
  <si>
    <t>2024-02-17</t>
  </si>
  <si>
    <t>2024-01-11</t>
  </si>
  <si>
    <t>2023-08-15</t>
  </si>
  <si>
    <t>2023-03-22</t>
  </si>
  <si>
    <t>2023-03-07</t>
  </si>
  <si>
    <t>2023-10-15</t>
  </si>
  <si>
    <t>2023-08-21</t>
  </si>
  <si>
    <t>2023-09-27</t>
  </si>
  <si>
    <t>2023-11-06</t>
  </si>
  <si>
    <t>2023-02-16</t>
  </si>
  <si>
    <t>2023-04-15</t>
  </si>
  <si>
    <t>2023-02-28</t>
  </si>
  <si>
    <t>2023-05-15</t>
  </si>
  <si>
    <t>2023-12-05</t>
  </si>
  <si>
    <t>2023-10-06</t>
  </si>
  <si>
    <t>2023-10-27</t>
  </si>
  <si>
    <t>2023-04-18</t>
  </si>
  <si>
    <t>2023-06-11</t>
  </si>
  <si>
    <t>2023-01-12</t>
  </si>
  <si>
    <t>2023-09-13</t>
  </si>
  <si>
    <t>2024-02-07</t>
  </si>
  <si>
    <t>2023-05-07</t>
  </si>
  <si>
    <t>2023-01-08</t>
  </si>
  <si>
    <t>2023-03-15</t>
  </si>
  <si>
    <t>2024-02-11</t>
  </si>
  <si>
    <t>2023-04-09</t>
  </si>
  <si>
    <t>2023-09-05</t>
  </si>
  <si>
    <t>2023-08-08</t>
  </si>
  <si>
    <t>2023-01-01</t>
  </si>
  <si>
    <t>2023-09-07</t>
  </si>
  <si>
    <t>2024-01-18</t>
  </si>
  <si>
    <t>2023-10-18</t>
  </si>
  <si>
    <t>2023-10-11</t>
  </si>
  <si>
    <t>2023-12-11</t>
  </si>
  <si>
    <t>2023-01-06</t>
  </si>
  <si>
    <t>2023-01-13</t>
  </si>
  <si>
    <t>2023-11-12</t>
  </si>
  <si>
    <t>2023-03-30</t>
  </si>
  <si>
    <t>2023-11-08</t>
  </si>
  <si>
    <t>2023-06-24</t>
  </si>
  <si>
    <t>2023-04-28</t>
  </si>
  <si>
    <t>2023-02-18</t>
  </si>
  <si>
    <t>2023-07-17</t>
  </si>
  <si>
    <t>2023-12-22</t>
  </si>
  <si>
    <t>2023-07-27</t>
  </si>
  <si>
    <t>2023-06-08</t>
  </si>
  <si>
    <t>2023-05-20</t>
  </si>
  <si>
    <t>2023-03-19</t>
  </si>
  <si>
    <t>2023-03-06</t>
  </si>
  <si>
    <t>2023-07-21</t>
  </si>
  <si>
    <t>2023-06-30</t>
  </si>
  <si>
    <t>2023-11-07</t>
  </si>
  <si>
    <t>2023-05-11</t>
  </si>
  <si>
    <t>2023-05-04</t>
  </si>
  <si>
    <t>2023-10-13</t>
  </si>
  <si>
    <t>2023-11-03</t>
  </si>
  <si>
    <t>2023-11-24</t>
  </si>
  <si>
    <t>2024-03-17</t>
  </si>
  <si>
    <t>2023-04-22</t>
  </si>
  <si>
    <t>2024-01-10</t>
  </si>
  <si>
    <t>2024-01-30</t>
  </si>
  <si>
    <t>2024-02-20</t>
  </si>
  <si>
    <t>2023-06-05</t>
  </si>
  <si>
    <t>2023-11-15</t>
  </si>
  <si>
    <t>2023-09-18</t>
  </si>
  <si>
    <t>2024-02-08</t>
  </si>
  <si>
    <t>2023-12-09</t>
  </si>
  <si>
    <t>2023-10-25</t>
  </si>
  <si>
    <t>2024-02-10</t>
  </si>
  <si>
    <t>2023-09-24</t>
  </si>
  <si>
    <t>2023-11-04</t>
  </si>
  <si>
    <t>2024-01-21</t>
  </si>
  <si>
    <t>2023-07-03</t>
  </si>
  <si>
    <t>2023-11-17</t>
  </si>
  <si>
    <t>2023-11-21</t>
  </si>
  <si>
    <t>2023-12-21</t>
  </si>
  <si>
    <t>2023-08-13</t>
  </si>
  <si>
    <t>2023-11-11</t>
  </si>
  <si>
    <t>2023-06-10</t>
  </si>
  <si>
    <t>2023-04-01</t>
  </si>
  <si>
    <t>2023-12-31</t>
  </si>
  <si>
    <t>2023-03-25</t>
  </si>
  <si>
    <t>2023-05-08</t>
  </si>
  <si>
    <t>2023-08-30</t>
  </si>
  <si>
    <t>2023-03-24</t>
  </si>
  <si>
    <t>2023-07-22</t>
  </si>
  <si>
    <t>2023-10-04</t>
  </si>
  <si>
    <t>2023-09-14</t>
  </si>
  <si>
    <t>2024-02-19</t>
  </si>
  <si>
    <t>2023-02-27</t>
  </si>
  <si>
    <t>2023-09-25</t>
  </si>
  <si>
    <t>2023-12-24</t>
  </si>
  <si>
    <t>2023-07-09</t>
  </si>
  <si>
    <t>2024-01-16</t>
  </si>
  <si>
    <t>2023-03-09</t>
  </si>
  <si>
    <t>2023-03-16</t>
  </si>
  <si>
    <t>2023-08-17</t>
  </si>
  <si>
    <t>2023-04-10</t>
  </si>
  <si>
    <t>2023-12-28</t>
  </si>
  <si>
    <t>2024-01-28</t>
  </si>
  <si>
    <t>2023-08-07</t>
  </si>
  <si>
    <t>2024-02-26</t>
  </si>
  <si>
    <t>2024-03-19</t>
  </si>
  <si>
    <t>2023-06-06</t>
  </si>
  <si>
    <t>2023-06-15</t>
  </si>
  <si>
    <t>2024-02-28</t>
  </si>
  <si>
    <t>2023-05-28</t>
  </si>
  <si>
    <t>2024-01-22</t>
  </si>
  <si>
    <t>2024-03-11</t>
  </si>
  <si>
    <t>2024-03-25</t>
  </si>
  <si>
    <t>2023-03-11</t>
  </si>
  <si>
    <t>2023-06-29</t>
  </si>
  <si>
    <t>2023-07-20</t>
  </si>
  <si>
    <t>2023-11-18</t>
  </si>
  <si>
    <t>2024-01-13</t>
  </si>
  <si>
    <t>2023-11-22</t>
  </si>
  <si>
    <t>2023-07-01</t>
  </si>
  <si>
    <t>2023-04-24</t>
  </si>
  <si>
    <t>2024-01-12</t>
  </si>
  <si>
    <t>2023-12-27</t>
  </si>
  <si>
    <t>2024-02-05</t>
  </si>
  <si>
    <t>2023-09-23</t>
  </si>
  <si>
    <t>2023-01-24</t>
  </si>
  <si>
    <t>2023-04-21</t>
  </si>
  <si>
    <t>2024-01-31</t>
  </si>
  <si>
    <t>2024-01-25</t>
  </si>
  <si>
    <t>2023-12-16</t>
  </si>
  <si>
    <t>2023-08-27</t>
  </si>
  <si>
    <t>2023-09-26</t>
  </si>
  <si>
    <t>2023-10-05</t>
  </si>
  <si>
    <t>2023-09-11</t>
  </si>
  <si>
    <t>2023-05-09</t>
  </si>
  <si>
    <t>2023-01-09</t>
  </si>
  <si>
    <t>2023-08-02</t>
  </si>
  <si>
    <t>2023-12-20</t>
  </si>
  <si>
    <t>2023-08-19</t>
  </si>
  <si>
    <t>2023-11-19</t>
  </si>
  <si>
    <t>2024-02-03</t>
  </si>
  <si>
    <t>2023-09-01</t>
  </si>
  <si>
    <t>2024-02-13</t>
  </si>
  <si>
    <t>2023-01-02</t>
  </si>
  <si>
    <t>2023-02-15</t>
  </si>
  <si>
    <t>2023-11-14</t>
  </si>
  <si>
    <t>2023-12-25</t>
  </si>
  <si>
    <t>2023-10-09</t>
  </si>
  <si>
    <t>2024-02-29</t>
  </si>
  <si>
    <t>2023-05-22</t>
  </si>
  <si>
    <t>2023-08-16</t>
  </si>
  <si>
    <t>2023-07-18</t>
  </si>
  <si>
    <t>2023-02-07</t>
  </si>
  <si>
    <t>2023-01-21</t>
  </si>
  <si>
    <t>2023-05-13</t>
  </si>
  <si>
    <t>2023-02-26</t>
  </si>
  <si>
    <t>2023-06-02</t>
  </si>
  <si>
    <t>2023-07-16</t>
  </si>
  <si>
    <t>2023-09-16</t>
  </si>
  <si>
    <t>2023-02-09</t>
  </si>
  <si>
    <t>2023-04-07</t>
  </si>
  <si>
    <t>2024-02-21</t>
  </si>
  <si>
    <t>2023-10-20</t>
  </si>
  <si>
    <t>2023-12-10</t>
  </si>
  <si>
    <t>2024-02-02</t>
  </si>
  <si>
    <t>2024-02-14</t>
  </si>
  <si>
    <t>2023-08-09</t>
  </si>
  <si>
    <t>2024-01-15</t>
  </si>
  <si>
    <t>2023-04-06</t>
  </si>
  <si>
    <t>2023-06-28</t>
  </si>
  <si>
    <t>2023-05-25</t>
  </si>
  <si>
    <t>2023-06-16</t>
  </si>
  <si>
    <t>2023-04-26</t>
  </si>
  <si>
    <t>2023-12-02</t>
  </si>
  <si>
    <t>2023-02-22</t>
  </si>
  <si>
    <t>2023-11-16</t>
  </si>
  <si>
    <t>2023-03-02</t>
  </si>
  <si>
    <t>2023-12-12</t>
  </si>
  <si>
    <t>2023-05-16</t>
  </si>
  <si>
    <t>2023-06-01</t>
  </si>
  <si>
    <t>2023-12-23</t>
  </si>
  <si>
    <t>2023-04-30</t>
  </si>
  <si>
    <t>2024-02-27</t>
  </si>
  <si>
    <t>2023-04-11</t>
  </si>
  <si>
    <t>2023-07-13</t>
  </si>
  <si>
    <t>2023-02-14</t>
  </si>
  <si>
    <t>2023-07-28</t>
  </si>
  <si>
    <t>2023-08-03</t>
  </si>
  <si>
    <t>2023-12-06</t>
  </si>
  <si>
    <t>2023-10-22</t>
  </si>
  <si>
    <t>2023-12-03</t>
  </si>
  <si>
    <t>2023-09-29</t>
  </si>
  <si>
    <t>2023-10-23</t>
  </si>
  <si>
    <t>2023-02-20</t>
  </si>
  <si>
    <t>2023-08-24</t>
  </si>
  <si>
    <t>2023-12-18</t>
  </si>
  <si>
    <t>2023-05-31</t>
  </si>
  <si>
    <t>2023-02-08</t>
  </si>
  <si>
    <t>2023-12-15</t>
  </si>
  <si>
    <t>2024-01-19</t>
  </si>
  <si>
    <t>2023-08-25</t>
  </si>
  <si>
    <t>2024-01-14</t>
  </si>
  <si>
    <t>2024-03-18</t>
  </si>
  <si>
    <t>2023-10-28</t>
  </si>
  <si>
    <t>2024-01-27</t>
  </si>
  <si>
    <t>2023-01-07</t>
  </si>
  <si>
    <t>2023-10-16</t>
  </si>
  <si>
    <t>2023-07-31</t>
  </si>
  <si>
    <t>2023-03-08</t>
  </si>
  <si>
    <t>2024-02-25</t>
  </si>
  <si>
    <t>2024-03-15</t>
  </si>
  <si>
    <t>2024-03-26</t>
  </si>
  <si>
    <t>2023-09-09</t>
  </si>
  <si>
    <t>2024-02-15</t>
  </si>
  <si>
    <t>2024-02-18</t>
  </si>
  <si>
    <t>2024-03-05</t>
  </si>
  <si>
    <t>2023-11-13</t>
  </si>
  <si>
    <t>2023-01-28</t>
  </si>
  <si>
    <t>2023-12-13</t>
  </si>
  <si>
    <t>2023-06-23</t>
  </si>
  <si>
    <t>2023-04-19</t>
  </si>
  <si>
    <t>2023-07-25</t>
  </si>
  <si>
    <t>2023-09-20</t>
  </si>
  <si>
    <t>2023-06-07</t>
  </si>
  <si>
    <t>2023-12-30</t>
  </si>
  <si>
    <t>2023-11-30</t>
  </si>
  <si>
    <t>2024-03-23</t>
  </si>
  <si>
    <t>2023-02-19</t>
  </si>
  <si>
    <t>2023-06-21</t>
  </si>
  <si>
    <t>2023-07-30</t>
  </si>
  <si>
    <t>2024-03-22</t>
  </si>
  <si>
    <t>2023-05-19</t>
  </si>
  <si>
    <t>2023-04-03</t>
  </si>
  <si>
    <t>2023-04-29</t>
  </si>
  <si>
    <t>2023-05-30</t>
  </si>
  <si>
    <t>2023-01-20</t>
  </si>
  <si>
    <t>2024-03-10</t>
  </si>
  <si>
    <t>2024-03-09</t>
  </si>
  <si>
    <t>2023-12-17</t>
  </si>
  <si>
    <t>2023-11-05</t>
  </si>
  <si>
    <t>2023-04-02</t>
  </si>
  <si>
    <t>2023-02-23</t>
  </si>
  <si>
    <t>2023-01-17</t>
  </si>
  <si>
    <t>2024-02-23</t>
  </si>
  <si>
    <t>2023-09-10</t>
  </si>
  <si>
    <t>2023-01-29</t>
  </si>
  <si>
    <t>2023-01-15</t>
  </si>
  <si>
    <t>2023-08-12</t>
  </si>
  <si>
    <t>2024-03-13</t>
  </si>
  <si>
    <t>2023-07-23</t>
  </si>
  <si>
    <t>2023-12-07</t>
  </si>
  <si>
    <t>2023-03-26</t>
  </si>
  <si>
    <t>2023-07-19</t>
  </si>
  <si>
    <t>2023-09-08</t>
  </si>
  <si>
    <t>2023-03-14</t>
  </si>
  <si>
    <t>2023-04-16</t>
  </si>
  <si>
    <t>2023-05-02</t>
  </si>
  <si>
    <t>2023-09-15</t>
  </si>
  <si>
    <t>2023-03-10</t>
  </si>
  <si>
    <t>2023-05-14</t>
  </si>
  <si>
    <t>2023-08-23</t>
  </si>
  <si>
    <t>2023-05-21</t>
  </si>
  <si>
    <t>2023-09-30</t>
  </si>
  <si>
    <t>2023-02-12</t>
  </si>
  <si>
    <t>2023-03-18</t>
  </si>
  <si>
    <t>2023-12-08</t>
  </si>
  <si>
    <t>2024-01-01</t>
  </si>
  <si>
    <t>2024-02-22</t>
  </si>
  <si>
    <t>2024-01-08</t>
  </si>
  <si>
    <t>2023-09-19</t>
  </si>
  <si>
    <t>2023-10-21</t>
  </si>
  <si>
    <t>2023-01-27</t>
  </si>
  <si>
    <t>2023-12-14</t>
  </si>
  <si>
    <t>2023-01-30</t>
  </si>
  <si>
    <t>2023-07-04</t>
  </si>
  <si>
    <t>2023-05-27</t>
  </si>
  <si>
    <t>2023-06-22</t>
  </si>
  <si>
    <t>2023-05-18</t>
  </si>
  <si>
    <t>2023-12-19</t>
  </si>
  <si>
    <t>2023-02-13</t>
  </si>
  <si>
    <t>2023-02-04</t>
  </si>
  <si>
    <t>2023-08-14</t>
  </si>
  <si>
    <t>2023-11-02</t>
  </si>
  <si>
    <t>2023-01-31</t>
  </si>
  <si>
    <t>2023-11-09</t>
  </si>
  <si>
    <t>2023-08-10</t>
  </si>
  <si>
    <t>2023-07-24</t>
  </si>
  <si>
    <t>North</t>
  </si>
  <si>
    <t>West</t>
  </si>
  <si>
    <t>South</t>
  </si>
  <si>
    <t>East</t>
  </si>
  <si>
    <t>Books</t>
  </si>
  <si>
    <t>Clothing</t>
  </si>
  <si>
    <t>Electronics</t>
  </si>
  <si>
    <t>Toys</t>
  </si>
  <si>
    <t>Sports</t>
  </si>
  <si>
    <t>Home</t>
  </si>
  <si>
    <t>Corporate</t>
  </si>
  <si>
    <t>Home Office</t>
  </si>
  <si>
    <t>Consumer</t>
  </si>
  <si>
    <t>Row Labels</t>
  </si>
  <si>
    <t>Grand Total</t>
  </si>
  <si>
    <t>Sum of Sales</t>
  </si>
  <si>
    <t>Profit Margin</t>
  </si>
  <si>
    <t>Electronics category is the top-selling category.</t>
  </si>
  <si>
    <t>West region generates the highest revenue.</t>
  </si>
  <si>
    <t>South region is the lowest performing region.</t>
  </si>
  <si>
    <t>Corporate segment gives better sales than other segments.</t>
  </si>
  <si>
    <t>Clothing and Books categories need improvement in sales and profit.</t>
  </si>
  <si>
    <t>SALES PERFORMANCE DASHBOARD</t>
  </si>
  <si>
    <t>SALES BY CATEGORY</t>
  </si>
  <si>
    <t>SALES BY REGION &amp; SEGMENT</t>
  </si>
  <si>
    <t>PROFIT MARGIN</t>
  </si>
  <si>
    <t>Profits Margin</t>
  </si>
  <si>
    <t xml:space="preserve"> Labels</t>
  </si>
  <si>
    <t xml:space="preserve"> Label</t>
  </si>
  <si>
    <t>Pivot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</si>
</sst>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6"/>
      <color theme="1"/>
      <name val="Calibri"/>
      <family val="2"/>
      <scheme val="minor"/>
    </font>
    <font>
      <b/>
      <sz val="16"/>
      <color theme="1"/>
      <name val="Britannic Bold"/>
      <family val="2"/>
    </font>
    <font>
      <b/>
      <sz val="10"/>
      <color theme="1"/>
      <name val="Calibri"/>
      <family val="2"/>
      <scheme val="minor"/>
    </font>
    <font>
      <sz val="10"/>
      <color theme="1"/>
      <name val="Calibri"/>
      <family val="2"/>
      <scheme val="minor"/>
    </font>
    <font>
      <b/>
      <sz val="11"/>
      <color rgb="FFFF0000"/>
      <name val="Calibri"/>
      <family val="2"/>
      <scheme val="minor"/>
    </font>
  </fonts>
  <fills count="2">
    <fill>
      <patternFill patternType="none"/>
    </fill>
    <fill>
      <patternFill patternType="gray125"/>
    </fill>
  </fills>
  <borders count="12">
    <border>
      <left/>
      <right/>
      <top/>
      <bottom/>
      <diagonal/>
    </border>
    <border>
      <left style="thin">
        <color auto="1"/>
      </left>
      <right style="thin">
        <color auto="1"/>
      </right>
      <top/>
      <bottom style="thin">
        <color auto="1"/>
      </bottom>
      <diagonal/>
    </border>
    <border>
      <left/>
      <right/>
      <top style="thin">
        <color auto="1"/>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0" fillId="0" borderId="2" xfId="0" applyBorder="1"/>
    <xf numFmtId="0" fontId="1" fillId="0" borderId="0" xfId="0" applyFont="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4" fillId="0" borderId="1" xfId="0" applyFont="1" applyBorder="1" applyAlignment="1">
      <alignment horizontal="left" vertical="top"/>
    </xf>
    <xf numFmtId="14" fontId="4" fillId="0" borderId="1" xfId="0" applyNumberFormat="1" applyFont="1" applyBorder="1" applyAlignment="1">
      <alignment horizontal="left" vertical="top"/>
    </xf>
    <xf numFmtId="10" fontId="4" fillId="0" borderId="1" xfId="0" applyNumberFormat="1" applyFont="1" applyBorder="1" applyAlignment="1">
      <alignment horizontal="left" vertical="top"/>
    </xf>
    <xf numFmtId="0" fontId="5" fillId="0" borderId="0" xfId="0" applyFont="1" applyAlignment="1">
      <alignment horizontal="left"/>
    </xf>
    <xf numFmtId="14" fontId="5" fillId="0" borderId="0" xfId="0" applyNumberFormat="1" applyFont="1" applyAlignment="1">
      <alignment horizontal="left"/>
    </xf>
    <xf numFmtId="10" fontId="5" fillId="0" borderId="0" xfId="0" applyNumberFormat="1" applyFont="1" applyAlignment="1">
      <alignment horizontal="left"/>
    </xf>
    <xf numFmtId="0" fontId="0" fillId="0" borderId="10" xfId="0" pivotButton="1" applyBorder="1"/>
    <xf numFmtId="0" fontId="0" fillId="0" borderId="10" xfId="0" applyBorder="1"/>
    <xf numFmtId="0" fontId="0" fillId="0" borderId="10" xfId="0" applyBorder="1" applyAlignment="1">
      <alignment horizontal="left"/>
    </xf>
    <xf numFmtId="10" fontId="0" fillId="0" borderId="10" xfId="0" applyNumberFormat="1" applyBorder="1"/>
    <xf numFmtId="0" fontId="6" fillId="0" borderId="0" xfId="0" applyFont="1"/>
    <xf numFmtId="0" fontId="2" fillId="0" borderId="0" xfId="0" applyFont="1" applyAlignment="1">
      <alignment horizontal="center"/>
    </xf>
    <xf numFmtId="0" fontId="6" fillId="0" borderId="0" xfId="0" applyFont="1" applyAlignment="1">
      <alignment horizontal="center"/>
    </xf>
    <xf numFmtId="0" fontId="3" fillId="0" borderId="11" xfId="0" applyFont="1" applyBorder="1" applyAlignment="1">
      <alignment horizontal="center" vertical="center"/>
    </xf>
  </cellXfs>
  <cellStyles count="1">
    <cellStyle name="Normal" xfId="0" builtinId="0"/>
  </cellStyles>
  <dxfs count="26">
    <dxf>
      <border>
        <vertical style="medium">
          <color indexed="64"/>
        </vertical>
        <horizontal style="medium">
          <color indexed="64"/>
        </horizontal>
      </border>
    </dxf>
    <dxf>
      <border>
        <vertical style="medium">
          <color indexed="64"/>
        </vertical>
        <horizontal style="medium">
          <color indexed="64"/>
        </horizontal>
      </border>
    </dxf>
    <dxf>
      <border>
        <vertical style="medium">
          <color indexed="64"/>
        </vertical>
        <horizontal style="medium">
          <color indexed="64"/>
        </horizontal>
      </border>
    </dxf>
    <dxf>
      <border>
        <vertical style="medium">
          <color indexed="64"/>
        </vertical>
        <horizontal style="medium">
          <color indexed="64"/>
        </horizontal>
      </border>
    </dxf>
    <dxf>
      <border>
        <vertical style="medium">
          <color indexed="64"/>
        </vertical>
        <horizontal style="medium">
          <color indexed="64"/>
        </horizontal>
      </border>
    </dxf>
    <dxf>
      <border>
        <vertical style="medium">
          <color indexed="64"/>
        </vertical>
        <horizontal style="medium">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font>
        <strike val="0"/>
        <outline val="0"/>
        <shadow val="0"/>
        <u val="none"/>
        <vertAlign val="baseline"/>
        <sz val="10"/>
        <color theme="1"/>
        <name val="Calibri"/>
        <family val="2"/>
        <scheme val="minor"/>
      </font>
      <numFmt numFmtId="0" formatCode="General"/>
      <alignment horizontal="left" textRotation="0" wrapText="0" indent="0" justifyLastLine="0" shrinkToFit="0" readingOrder="0"/>
    </dxf>
    <dxf>
      <font>
        <strike val="0"/>
        <outline val="0"/>
        <shadow val="0"/>
        <u val="none"/>
        <vertAlign val="baseline"/>
        <sz val="10"/>
        <color theme="1"/>
        <name val="Calibri"/>
        <family val="2"/>
        <scheme val="minor"/>
      </font>
      <numFmt numFmtId="14" formatCode="0.00%"/>
      <alignment horizontal="left" textRotation="0" wrapText="0" indent="0" justifyLastLine="0" shrinkToFit="0" readingOrder="0"/>
    </dxf>
    <dxf>
      <font>
        <strike val="0"/>
        <outline val="0"/>
        <shadow val="0"/>
        <u val="none"/>
        <vertAlign val="baseline"/>
        <sz val="10"/>
        <color theme="1"/>
        <name val="Calibri"/>
        <family val="2"/>
        <scheme val="minor"/>
      </font>
      <numFmt numFmtId="14" formatCode="0.00%"/>
      <alignment horizontal="left" textRotation="0" wrapText="0" indent="0" justifyLastLine="0" shrinkToFit="0" readingOrder="0"/>
    </dxf>
    <dxf>
      <font>
        <strike val="0"/>
        <outline val="0"/>
        <shadow val="0"/>
        <u val="none"/>
        <vertAlign val="baseline"/>
        <sz val="10"/>
        <color theme="1"/>
        <name val="Calibri"/>
        <family val="2"/>
        <scheme val="minor"/>
      </font>
      <alignment horizontal="left" textRotation="0" wrapText="0" indent="0" justifyLastLine="0" shrinkToFit="0" readingOrder="0"/>
    </dxf>
    <dxf>
      <font>
        <strike val="0"/>
        <outline val="0"/>
        <shadow val="0"/>
        <u val="none"/>
        <vertAlign val="baseline"/>
        <sz val="10"/>
        <color theme="1"/>
        <name val="Calibri"/>
        <family val="2"/>
        <scheme val="minor"/>
      </font>
      <alignment horizontal="left" textRotation="0" wrapText="0" indent="0" justifyLastLine="0" shrinkToFit="0" readingOrder="0"/>
    </dxf>
    <dxf>
      <font>
        <strike val="0"/>
        <outline val="0"/>
        <shadow val="0"/>
        <u val="none"/>
        <vertAlign val="baseline"/>
        <sz val="10"/>
        <color theme="1"/>
        <name val="Calibri"/>
        <family val="2"/>
        <scheme val="minor"/>
      </font>
      <alignment horizontal="left" textRotation="0" wrapText="0" indent="0" justifyLastLine="0" shrinkToFit="0" readingOrder="0"/>
    </dxf>
    <dxf>
      <font>
        <strike val="0"/>
        <outline val="0"/>
        <shadow val="0"/>
        <u val="none"/>
        <vertAlign val="baseline"/>
        <sz val="10"/>
        <color theme="1"/>
        <name val="Calibri"/>
        <family val="2"/>
        <scheme val="minor"/>
      </font>
      <numFmt numFmtId="19" formatCode="m/d/yyyy"/>
      <alignment horizontal="left" textRotation="0" wrapText="0" indent="0" justifyLastLine="0" shrinkToFit="0" readingOrder="0"/>
    </dxf>
    <dxf>
      <font>
        <strike val="0"/>
        <outline val="0"/>
        <shadow val="0"/>
        <u val="none"/>
        <vertAlign val="baseline"/>
        <sz val="10"/>
        <color theme="1"/>
        <name val="Calibri"/>
        <family val="2"/>
        <scheme val="minor"/>
      </font>
      <alignment horizontal="left" textRotation="0" wrapText="0" indent="0" justifyLastLine="0" shrinkToFit="0" readingOrder="0"/>
    </dxf>
    <dxf>
      <border outline="0">
        <top style="thin">
          <color auto="1"/>
        </top>
      </border>
    </dxf>
    <dxf>
      <font>
        <strike val="0"/>
        <outline val="0"/>
        <shadow val="0"/>
        <u val="none"/>
        <vertAlign val="baseline"/>
        <sz val="10"/>
        <color theme="1"/>
        <name val="Calibri"/>
        <family val="2"/>
        <scheme val="minor"/>
      </font>
      <alignment horizontal="left" textRotation="0" wrapText="0" indent="0" justifyLastLine="0" shrinkToFit="0" readingOrder="0"/>
    </dxf>
    <dxf>
      <border outline="0">
        <bottom style="thin">
          <color auto="1"/>
        </bottom>
      </border>
    </dxf>
    <dxf>
      <font>
        <b/>
        <i val="0"/>
        <strike val="0"/>
        <condense val="0"/>
        <extend val="0"/>
        <outline val="0"/>
        <shadow val="0"/>
        <u val="none"/>
        <vertAlign val="baseline"/>
        <sz val="10"/>
        <color theme="1"/>
        <name val="Calibri"/>
        <family val="2"/>
        <scheme val="minor"/>
      </font>
      <alignment horizontal="left"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[Large_Amazon_Sales_Dataset_1000_Rows.xlsx]Pivot_Report!PivotTable1</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Total Sales by Category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Pivot_Report!$E$4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Pivot_Report!$D$5:$D$11</c:f>
              <c:strCache>
                <c:ptCount val="6"/>
                <c:pt idx="0">
                  <c:v>Electronics</c:v>
                </c:pt>
                <c:pt idx="1">
                  <c:v>Clothing</c:v>
                </c:pt>
                <c:pt idx="2">
                  <c:v>Sports</c:v>
                </c:pt>
                <c:pt idx="3">
                  <c:v>Home</c:v>
                </c:pt>
                <c:pt idx="4">
                  <c:v>Toys</c:v>
                </c:pt>
                <c:pt idx="5">
                  <c:v>Books</c:v>
                </c:pt>
              </c:strCache>
            </c:strRef>
          </c:cat>
          <c:val>
            <c:numRef>
              <c:f>Pivot_Report!$E$5:$E$11</c:f>
              <c:numCache>
                <c:formatCode>General</c:formatCode>
                <c:ptCount val="6"/>
                <c:pt idx="0">
                  <c:v>2964061</c:v>
                </c:pt>
                <c:pt idx="1">
                  <c:v>2761255</c:v>
                </c:pt>
                <c:pt idx="2">
                  <c:v>2595822</c:v>
                </c:pt>
                <c:pt idx="3">
                  <c:v>2565497</c:v>
                </c:pt>
                <c:pt idx="4">
                  <c:v>2504575</c:v>
                </c:pt>
                <c:pt idx="5">
                  <c:v>2338819</c:v>
                </c:pt>
              </c:numCache>
            </c:numRef>
          </c:val>
          <c:extLst>
            <c:ext xmlns:c16="http://schemas.microsoft.com/office/drawing/2014/chart" uri="{C3380CC4-5D6E-409C-BE32-E72D297353CC}">
              <c16:uniqueId val="{00000000-DABA-4A9E-9F2E-9500014111A8}"/>
            </c:ext>
          </c:extLst>
        </c:ser>
        <c:dLbls>
          <c:showLegendKey val="0"/>
          <c:showVal val="0"/>
          <c:showCatName val="0"/>
          <c:showSerName val="0"/>
          <c:showPercent val="0"/>
          <c:showBubbleSize val="0"/>
        </c:dLbls>
        <c:gapWidth val="100"/>
        <c:overlap val="-24"/>
        <c:axId val="402157424"/>
        <c:axId val="402158864"/>
      </c:barChart>
      <c:catAx>
        <c:axId val="402157424"/>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158864"/>
        <c:crosses val="autoZero"/>
        <c:auto val="1"/>
        <c:lblAlgn val="ctr"/>
        <c:lblOffset val="100"/>
        <c:noMultiLvlLbl val="0"/>
      </c:catAx>
      <c:valAx>
        <c:axId val="402158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157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Sales by Region and Segment</a:t>
            </a:r>
            <a:endParaRPr lang="en-IN"/>
          </a:p>
        </c:rich>
      </c:tx>
      <c:layout>
        <c:manualLayout>
          <c:xMode val="edge"/>
          <c:yMode val="edge"/>
          <c:x val="0.19772321868837012"/>
          <c:y val="8.253491978286235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v>Consumer</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4"/>
              <c:pt idx="0">
                <c:v>North</c:v>
              </c:pt>
              <c:pt idx="1">
                <c:v>West</c:v>
              </c:pt>
              <c:pt idx="2">
                <c:v>East</c:v>
              </c:pt>
              <c:pt idx="3">
                <c:v>South</c:v>
              </c:pt>
            </c:strLit>
          </c:cat>
          <c:val>
            <c:numLit>
              <c:formatCode>General</c:formatCode>
              <c:ptCount val="4"/>
              <c:pt idx="0">
                <c:v>1531948</c:v>
              </c:pt>
              <c:pt idx="1">
                <c:v>1557802</c:v>
              </c:pt>
              <c:pt idx="2">
                <c:v>1282840</c:v>
              </c:pt>
              <c:pt idx="3">
                <c:v>1283778</c:v>
              </c:pt>
            </c:numLit>
          </c:val>
          <c:extLst>
            <c:ext xmlns:c16="http://schemas.microsoft.com/office/drawing/2014/chart" uri="{C3380CC4-5D6E-409C-BE32-E72D297353CC}">
              <c16:uniqueId val="{00000000-C0B5-4C62-BA92-E67EB7E24134}"/>
            </c:ext>
          </c:extLst>
        </c:ser>
        <c:ser>
          <c:idx val="1"/>
          <c:order val="1"/>
          <c:tx>
            <c:v>Corporate</c:v>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4"/>
              <c:pt idx="0">
                <c:v>North</c:v>
              </c:pt>
              <c:pt idx="1">
                <c:v>West</c:v>
              </c:pt>
              <c:pt idx="2">
                <c:v>East</c:v>
              </c:pt>
              <c:pt idx="3">
                <c:v>South</c:v>
              </c:pt>
            </c:strLit>
          </c:cat>
          <c:val>
            <c:numLit>
              <c:formatCode>General</c:formatCode>
              <c:ptCount val="4"/>
              <c:pt idx="0">
                <c:v>1555943</c:v>
              </c:pt>
              <c:pt idx="1">
                <c:v>1442061</c:v>
              </c:pt>
              <c:pt idx="2">
                <c:v>1134523</c:v>
              </c:pt>
              <c:pt idx="3">
                <c:v>1103316</c:v>
              </c:pt>
            </c:numLit>
          </c:val>
          <c:extLst>
            <c:ext xmlns:c16="http://schemas.microsoft.com/office/drawing/2014/chart" uri="{C3380CC4-5D6E-409C-BE32-E72D297353CC}">
              <c16:uniqueId val="{00000001-C0B5-4C62-BA92-E67EB7E24134}"/>
            </c:ext>
          </c:extLst>
        </c:ser>
        <c:ser>
          <c:idx val="2"/>
          <c:order val="2"/>
          <c:tx>
            <c:v>Home Office</c:v>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4"/>
              <c:pt idx="0">
                <c:v>North</c:v>
              </c:pt>
              <c:pt idx="1">
                <c:v>West</c:v>
              </c:pt>
              <c:pt idx="2">
                <c:v>East</c:v>
              </c:pt>
              <c:pt idx="3">
                <c:v>South</c:v>
              </c:pt>
            </c:strLit>
          </c:cat>
          <c:val>
            <c:numLit>
              <c:formatCode>General</c:formatCode>
              <c:ptCount val="4"/>
              <c:pt idx="0">
                <c:v>1323926</c:v>
              </c:pt>
              <c:pt idx="1">
                <c:v>1360877</c:v>
              </c:pt>
              <c:pt idx="2">
                <c:v>1234713</c:v>
              </c:pt>
              <c:pt idx="3">
                <c:v>918302</c:v>
              </c:pt>
            </c:numLit>
          </c:val>
          <c:extLst>
            <c:ext xmlns:c16="http://schemas.microsoft.com/office/drawing/2014/chart" uri="{C3380CC4-5D6E-409C-BE32-E72D297353CC}">
              <c16:uniqueId val="{00000002-C0B5-4C62-BA92-E67EB7E24134}"/>
            </c:ext>
          </c:extLst>
        </c:ser>
        <c:dLbls>
          <c:showLegendKey val="0"/>
          <c:showVal val="0"/>
          <c:showCatName val="0"/>
          <c:showSerName val="0"/>
          <c:showPercent val="0"/>
          <c:showBubbleSize val="0"/>
        </c:dLbls>
        <c:gapWidth val="150"/>
        <c:shape val="box"/>
        <c:axId val="641892736"/>
        <c:axId val="653475056"/>
        <c:axId val="0"/>
      </c:bar3DChart>
      <c:catAx>
        <c:axId val="6418927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3475056"/>
        <c:crosses val="autoZero"/>
        <c:auto val="1"/>
        <c:lblAlgn val="ctr"/>
        <c:lblOffset val="100"/>
        <c:noMultiLvlLbl val="0"/>
      </c:catAx>
      <c:valAx>
        <c:axId val="653475056"/>
        <c:scaling>
          <c:orientation val="minMax"/>
        </c:scaling>
        <c:delete val="0"/>
        <c:axPos val="b"/>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1892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[Large_Amazon_Sales_Dataset_1000_Rows.xlsx]Pivot_Report!PivotTable4</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Profit Margin Analysis by Category &amp;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Pivot_Report!$C$25:$C$26</c:f>
              <c:strCache>
                <c:ptCount val="1"/>
                <c:pt idx="0">
                  <c:v>East</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Pivot_Report!$B$27:$B$33</c:f>
              <c:strCache>
                <c:ptCount val="6"/>
                <c:pt idx="0">
                  <c:v>Books</c:v>
                </c:pt>
                <c:pt idx="1">
                  <c:v>Clothing</c:v>
                </c:pt>
                <c:pt idx="2">
                  <c:v>Electronics</c:v>
                </c:pt>
                <c:pt idx="3">
                  <c:v>Home</c:v>
                </c:pt>
                <c:pt idx="4">
                  <c:v>Sports</c:v>
                </c:pt>
                <c:pt idx="5">
                  <c:v>Toys</c:v>
                </c:pt>
              </c:strCache>
            </c:strRef>
          </c:cat>
          <c:val>
            <c:numRef>
              <c:f>Pivot_Report!$C$27:$C$33</c:f>
              <c:numCache>
                <c:formatCode>0.00%</c:formatCode>
                <c:ptCount val="6"/>
                <c:pt idx="0">
                  <c:v>8.0419068767358812</c:v>
                </c:pt>
                <c:pt idx="1">
                  <c:v>6.4794087126748421</c:v>
                </c:pt>
                <c:pt idx="2">
                  <c:v>7.5522396719875866</c:v>
                </c:pt>
                <c:pt idx="3">
                  <c:v>8.4109795572563222</c:v>
                </c:pt>
                <c:pt idx="4">
                  <c:v>7.679173995462242</c:v>
                </c:pt>
                <c:pt idx="5">
                  <c:v>7.3637992802047476</c:v>
                </c:pt>
              </c:numCache>
            </c:numRef>
          </c:val>
          <c:smooth val="0"/>
          <c:extLst>
            <c:ext xmlns:c16="http://schemas.microsoft.com/office/drawing/2014/chart" uri="{C3380CC4-5D6E-409C-BE32-E72D297353CC}">
              <c16:uniqueId val="{00000000-49F6-4D70-961C-184294802CF6}"/>
            </c:ext>
          </c:extLst>
        </c:ser>
        <c:ser>
          <c:idx val="1"/>
          <c:order val="1"/>
          <c:tx>
            <c:strRef>
              <c:f>Pivot_Report!$D$25:$D$26</c:f>
              <c:strCache>
                <c:ptCount val="1"/>
                <c:pt idx="0">
                  <c:v>North</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Pivot_Report!$B$27:$B$33</c:f>
              <c:strCache>
                <c:ptCount val="6"/>
                <c:pt idx="0">
                  <c:v>Books</c:v>
                </c:pt>
                <c:pt idx="1">
                  <c:v>Clothing</c:v>
                </c:pt>
                <c:pt idx="2">
                  <c:v>Electronics</c:v>
                </c:pt>
                <c:pt idx="3">
                  <c:v>Home</c:v>
                </c:pt>
                <c:pt idx="4">
                  <c:v>Sports</c:v>
                </c:pt>
                <c:pt idx="5">
                  <c:v>Toys</c:v>
                </c:pt>
              </c:strCache>
            </c:strRef>
          </c:cat>
          <c:val>
            <c:numRef>
              <c:f>Pivot_Report!$D$27:$D$33</c:f>
              <c:numCache>
                <c:formatCode>0.00%</c:formatCode>
                <c:ptCount val="6"/>
                <c:pt idx="0">
                  <c:v>6.4156020209741378</c:v>
                </c:pt>
                <c:pt idx="1">
                  <c:v>8.8535013976978352</c:v>
                </c:pt>
                <c:pt idx="2">
                  <c:v>8.8928846818279741</c:v>
                </c:pt>
                <c:pt idx="3">
                  <c:v>7.5506967812860246</c:v>
                </c:pt>
                <c:pt idx="4">
                  <c:v>9.7409634815760562</c:v>
                </c:pt>
                <c:pt idx="5">
                  <c:v>9.9895268094502363</c:v>
                </c:pt>
              </c:numCache>
            </c:numRef>
          </c:val>
          <c:smooth val="0"/>
          <c:extLst>
            <c:ext xmlns:c16="http://schemas.microsoft.com/office/drawing/2014/chart" uri="{C3380CC4-5D6E-409C-BE32-E72D297353CC}">
              <c16:uniqueId val="{00000005-49F6-4D70-961C-184294802CF6}"/>
            </c:ext>
          </c:extLst>
        </c:ser>
        <c:ser>
          <c:idx val="2"/>
          <c:order val="2"/>
          <c:tx>
            <c:strRef>
              <c:f>Pivot_Report!$E$25:$E$26</c:f>
              <c:strCache>
                <c:ptCount val="1"/>
                <c:pt idx="0">
                  <c:v>South</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Pivot_Report!$B$27:$B$33</c:f>
              <c:strCache>
                <c:ptCount val="6"/>
                <c:pt idx="0">
                  <c:v>Books</c:v>
                </c:pt>
                <c:pt idx="1">
                  <c:v>Clothing</c:v>
                </c:pt>
                <c:pt idx="2">
                  <c:v>Electronics</c:v>
                </c:pt>
                <c:pt idx="3">
                  <c:v>Home</c:v>
                </c:pt>
                <c:pt idx="4">
                  <c:v>Sports</c:v>
                </c:pt>
                <c:pt idx="5">
                  <c:v>Toys</c:v>
                </c:pt>
              </c:strCache>
            </c:strRef>
          </c:cat>
          <c:val>
            <c:numRef>
              <c:f>Pivot_Report!$E$27:$E$33</c:f>
              <c:numCache>
                <c:formatCode>0.00%</c:formatCode>
                <c:ptCount val="6"/>
                <c:pt idx="0">
                  <c:v>6.2512907017501549</c:v>
                </c:pt>
                <c:pt idx="1">
                  <c:v>6.6672026555561876</c:v>
                </c:pt>
                <c:pt idx="2">
                  <c:v>9.0243748332453002</c:v>
                </c:pt>
                <c:pt idx="3">
                  <c:v>7.836931453109286</c:v>
                </c:pt>
                <c:pt idx="4">
                  <c:v>4.3046066685610791</c:v>
                </c:pt>
                <c:pt idx="5">
                  <c:v>6.6948309991625052</c:v>
                </c:pt>
              </c:numCache>
            </c:numRef>
          </c:val>
          <c:smooth val="0"/>
          <c:extLst>
            <c:ext xmlns:c16="http://schemas.microsoft.com/office/drawing/2014/chart" uri="{C3380CC4-5D6E-409C-BE32-E72D297353CC}">
              <c16:uniqueId val="{00000006-49F6-4D70-961C-184294802CF6}"/>
            </c:ext>
          </c:extLst>
        </c:ser>
        <c:ser>
          <c:idx val="3"/>
          <c:order val="3"/>
          <c:tx>
            <c:strRef>
              <c:f>Pivot_Report!$F$25:$F$26</c:f>
              <c:strCache>
                <c:ptCount val="1"/>
                <c:pt idx="0">
                  <c:v>West</c:v>
                </c:pt>
              </c:strCache>
            </c:strRef>
          </c:tx>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Pivot_Report!$B$27:$B$33</c:f>
              <c:strCache>
                <c:ptCount val="6"/>
                <c:pt idx="0">
                  <c:v>Books</c:v>
                </c:pt>
                <c:pt idx="1">
                  <c:v>Clothing</c:v>
                </c:pt>
                <c:pt idx="2">
                  <c:v>Electronics</c:v>
                </c:pt>
                <c:pt idx="3">
                  <c:v>Home</c:v>
                </c:pt>
                <c:pt idx="4">
                  <c:v>Sports</c:v>
                </c:pt>
                <c:pt idx="5">
                  <c:v>Toys</c:v>
                </c:pt>
              </c:strCache>
            </c:strRef>
          </c:cat>
          <c:val>
            <c:numRef>
              <c:f>Pivot_Report!$F$27:$F$33</c:f>
              <c:numCache>
                <c:formatCode>0.00%</c:formatCode>
                <c:ptCount val="6"/>
                <c:pt idx="0">
                  <c:v>7.3939422277625217</c:v>
                </c:pt>
                <c:pt idx="1">
                  <c:v>9.8084289142240557</c:v>
                </c:pt>
                <c:pt idx="2">
                  <c:v>11.393213489421504</c:v>
                </c:pt>
                <c:pt idx="3">
                  <c:v>8.2825385546488093</c:v>
                </c:pt>
                <c:pt idx="4">
                  <c:v>8.8952107829735514</c:v>
                </c:pt>
                <c:pt idx="5">
                  <c:v>8.7090676486388574</c:v>
                </c:pt>
              </c:numCache>
            </c:numRef>
          </c:val>
          <c:smooth val="0"/>
          <c:extLst>
            <c:ext xmlns:c16="http://schemas.microsoft.com/office/drawing/2014/chart" uri="{C3380CC4-5D6E-409C-BE32-E72D297353CC}">
              <c16:uniqueId val="{00000007-49F6-4D70-961C-184294802CF6}"/>
            </c:ext>
          </c:extLst>
        </c:ser>
        <c:dLbls>
          <c:showLegendKey val="0"/>
          <c:showVal val="0"/>
          <c:showCatName val="0"/>
          <c:showSerName val="0"/>
          <c:showPercent val="0"/>
          <c:showBubbleSize val="0"/>
        </c:dLbls>
        <c:marker val="1"/>
        <c:smooth val="0"/>
        <c:axId val="407151184"/>
        <c:axId val="407151664"/>
      </c:lineChart>
      <c:catAx>
        <c:axId val="40715118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151664"/>
        <c:crosses val="autoZero"/>
        <c:auto val="1"/>
        <c:lblAlgn val="ctr"/>
        <c:lblOffset val="100"/>
        <c:noMultiLvlLbl val="0"/>
      </c:catAx>
      <c:valAx>
        <c:axId val="4071516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151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10584</xdr:colOff>
      <xdr:row>4</xdr:row>
      <xdr:rowOff>10583</xdr:rowOff>
    </xdr:from>
    <xdr:to>
      <xdr:col>7</xdr:col>
      <xdr:colOff>10584</xdr:colOff>
      <xdr:row>19</xdr:row>
      <xdr:rowOff>18203</xdr:rowOff>
    </xdr:to>
    <xdr:graphicFrame macro="">
      <xdr:nvGraphicFramePr>
        <xdr:cNvPr id="2" name="Chart 1">
          <a:extLst>
            <a:ext uri="{FF2B5EF4-FFF2-40B4-BE49-F238E27FC236}">
              <a16:creationId xmlns:a16="http://schemas.microsoft.com/office/drawing/2014/main" id="{9FA1DB5F-4433-420E-82E8-772C20EE67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7620</xdr:colOff>
      <xdr:row>4</xdr:row>
      <xdr:rowOff>36406</xdr:rowOff>
    </xdr:from>
    <xdr:to>
      <xdr:col>14</xdr:col>
      <xdr:colOff>42333</xdr:colOff>
      <xdr:row>19</xdr:row>
      <xdr:rowOff>16510</xdr:rowOff>
    </xdr:to>
    <xdr:graphicFrame macro="">
      <xdr:nvGraphicFramePr>
        <xdr:cNvPr id="3" name="Chart 2">
          <a:extLst>
            <a:ext uri="{FF2B5EF4-FFF2-40B4-BE49-F238E27FC236}">
              <a16:creationId xmlns:a16="http://schemas.microsoft.com/office/drawing/2014/main" id="{32B7CB1B-EEBE-404F-9517-AA7EFD87F6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610716</xdr:colOff>
      <xdr:row>19</xdr:row>
      <xdr:rowOff>175028</xdr:rowOff>
    </xdr:from>
    <xdr:to>
      <xdr:col>7</xdr:col>
      <xdr:colOff>23900</xdr:colOff>
      <xdr:row>35</xdr:row>
      <xdr:rowOff>10583</xdr:rowOff>
    </xdr:to>
    <xdr:graphicFrame macro="">
      <xdr:nvGraphicFramePr>
        <xdr:cNvPr id="4" name="Chart 3">
          <a:extLst>
            <a:ext uri="{FF2B5EF4-FFF2-40B4-BE49-F238E27FC236}">
              <a16:creationId xmlns:a16="http://schemas.microsoft.com/office/drawing/2014/main" id="{2D13C3F4-3101-4EB4-BF64-7575B60F6F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513</xdr:colOff>
      <xdr:row>20</xdr:row>
      <xdr:rowOff>806</xdr:rowOff>
    </xdr:from>
    <xdr:to>
      <xdr:col>19</xdr:col>
      <xdr:colOff>63500</xdr:colOff>
      <xdr:row>33</xdr:row>
      <xdr:rowOff>162881</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6F6B9F7C-C918-4BAC-B2C6-09C729942C8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594180" y="3842556"/>
              <a:ext cx="3132153" cy="25009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604055</xdr:colOff>
      <xdr:row>3</xdr:row>
      <xdr:rowOff>158749</xdr:rowOff>
    </xdr:from>
    <xdr:to>
      <xdr:col>18</xdr:col>
      <xdr:colOff>603250</xdr:colOff>
      <xdr:row>19</xdr:row>
      <xdr:rowOff>0</xdr:rowOff>
    </xdr:to>
    <mc:AlternateContent xmlns:mc="http://schemas.openxmlformats.org/markup-compatibility/2006" xmlns:a14="http://schemas.microsoft.com/office/drawing/2010/main">
      <mc:Choice Requires="a14">
        <xdr:graphicFrame macro="">
          <xdr:nvGraphicFramePr>
            <xdr:cNvPr id="6" name="Category 1">
              <a:extLst>
                <a:ext uri="{FF2B5EF4-FFF2-40B4-BE49-F238E27FC236}">
                  <a16:creationId xmlns:a16="http://schemas.microsoft.com/office/drawing/2014/main" id="{16563DA6-D680-4EDC-A3C0-E5103B4B421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197722" y="941916"/>
              <a:ext cx="2454528" cy="27199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13939</xdr:colOff>
      <xdr:row>20</xdr:row>
      <xdr:rowOff>12411</xdr:rowOff>
    </xdr:from>
    <xdr:to>
      <xdr:col>13</xdr:col>
      <xdr:colOff>21167</xdr:colOff>
      <xdr:row>33</xdr:row>
      <xdr:rowOff>171141</xdr:rowOff>
    </xdr:to>
    <mc:AlternateContent xmlns:mc="http://schemas.openxmlformats.org/markup-compatibility/2006" xmlns:a14="http://schemas.microsoft.com/office/drawing/2010/main">
      <mc:Choice Requires="a14">
        <xdr:graphicFrame macro="">
          <xdr:nvGraphicFramePr>
            <xdr:cNvPr id="7" name="Segment 1">
              <a:extLst>
                <a:ext uri="{FF2B5EF4-FFF2-40B4-BE49-F238E27FC236}">
                  <a16:creationId xmlns:a16="http://schemas.microsoft.com/office/drawing/2014/main" id="{1D54E9F1-3AF1-4B8B-82DB-D4C4F01BFAA9}"/>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4924606" y="3854161"/>
              <a:ext cx="3076394" cy="24976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ddhesh" refreshedDate="46038.665850694444" createdVersion="8" refreshedVersion="8" minRefreshableVersion="3" recordCount="1000" xr:uid="{D8B037D7-5CE1-4E0E-B5E3-86D87850F087}">
  <cacheSource type="worksheet">
    <worksheetSource name="Table2"/>
  </cacheSource>
  <cacheFields count="8">
    <cacheField name="Order ID" numFmtId="0">
      <sharedItems containsSemiMixedTypes="0" containsString="0" containsNumber="1" containsInteger="1" minValue="2001" maxValue="3000"/>
    </cacheField>
    <cacheField name="Order Date" numFmtId="14">
      <sharedItems/>
    </cacheField>
    <cacheField name="Region" numFmtId="0">
      <sharedItems count="4">
        <s v="North"/>
        <s v="West"/>
        <s v="South"/>
        <s v="East"/>
      </sharedItems>
    </cacheField>
    <cacheField name="Category" numFmtId="0">
      <sharedItems count="6">
        <s v="Books"/>
        <s v="Clothing"/>
        <s v="Electronics"/>
        <s v="Toys"/>
        <s v="Sports"/>
        <s v="Home"/>
      </sharedItems>
    </cacheField>
    <cacheField name="Segment" numFmtId="0">
      <sharedItems count="3">
        <s v="Corporate"/>
        <s v="Home Office"/>
        <s v="Consumer"/>
      </sharedItems>
    </cacheField>
    <cacheField name="Sales" numFmtId="10">
      <sharedItems containsSemiMixedTypes="0" containsString="0" containsNumber="1" containsInteger="1" minValue="1015" maxValue="29991"/>
    </cacheField>
    <cacheField name="Profit" numFmtId="10">
      <sharedItems containsSemiMixedTypes="0" containsString="0" containsNumber="1" minValue="87.92" maxValue="8493.59"/>
    </cacheField>
    <cacheField name="Profit Margin" numFmtId="10">
      <sharedItems containsSemiMixedTypes="0" containsString="0" containsNumber="1" minValue="8.0365630712979891E-2" maxValue="0.29961875637104995"/>
    </cacheField>
  </cacheFields>
  <extLst>
    <ext xmlns:x14="http://schemas.microsoft.com/office/spreadsheetml/2009/9/main" uri="{725AE2AE-9491-48be-B2B4-4EB974FC3084}">
      <x14:pivotCacheDefinition pivotCacheId="1128772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2001"/>
    <s v="2024-03-03"/>
    <x v="0"/>
    <x v="0"/>
    <x v="0"/>
    <n v="5280"/>
    <n v="770.05"/>
    <n v="0.14584280303030303"/>
  </r>
  <r>
    <n v="2002"/>
    <s v="2023-03-05"/>
    <x v="1"/>
    <x v="1"/>
    <x v="1"/>
    <n v="8904"/>
    <n v="1659.17"/>
    <n v="0.18633984725965858"/>
  </r>
  <r>
    <n v="2003"/>
    <s v="2023-06-25"/>
    <x v="2"/>
    <x v="2"/>
    <x v="0"/>
    <n v="9338"/>
    <n v="1231.8900000000001"/>
    <n v="0.13192225315913472"/>
  </r>
  <r>
    <n v="2004"/>
    <s v="2023-09-04"/>
    <x v="1"/>
    <x v="3"/>
    <x v="2"/>
    <n v="5212"/>
    <n v="483.53"/>
    <n v="9.2772448196469681E-2"/>
  </r>
  <r>
    <n v="2005"/>
    <s v="2023-03-21"/>
    <x v="3"/>
    <x v="2"/>
    <x v="2"/>
    <n v="21360"/>
    <n v="5490.04"/>
    <n v="0.25702434456928841"/>
  </r>
  <r>
    <n v="2006"/>
    <s v="2024-01-26"/>
    <x v="1"/>
    <x v="4"/>
    <x v="1"/>
    <n v="15190"/>
    <n v="3708.22"/>
    <n v="0.24412244897959182"/>
  </r>
  <r>
    <n v="2007"/>
    <s v="2024-03-07"/>
    <x v="2"/>
    <x v="0"/>
    <x v="1"/>
    <n v="6753"/>
    <n v="837.01"/>
    <n v="0.12394639419517252"/>
  </r>
  <r>
    <n v="2008"/>
    <s v="2023-09-02"/>
    <x v="1"/>
    <x v="4"/>
    <x v="1"/>
    <n v="24677"/>
    <n v="6898.91"/>
    <n v="0.2795684240385784"/>
  </r>
  <r>
    <n v="2009"/>
    <s v="2024-03-14"/>
    <x v="0"/>
    <x v="4"/>
    <x v="1"/>
    <n v="22577"/>
    <n v="5167.3900000000003"/>
    <n v="0.22887850467289722"/>
  </r>
  <r>
    <n v="2010"/>
    <s v="2023-05-01"/>
    <x v="2"/>
    <x v="5"/>
    <x v="2"/>
    <n v="23506"/>
    <n v="3048.04"/>
    <n v="0.1296707223687569"/>
  </r>
  <r>
    <n v="2011"/>
    <s v="2023-01-16"/>
    <x v="0"/>
    <x v="3"/>
    <x v="1"/>
    <n v="27158"/>
    <n v="6820.89"/>
    <n v="0.25115582885337656"/>
  </r>
  <r>
    <n v="2012"/>
    <s v="2024-02-12"/>
    <x v="3"/>
    <x v="4"/>
    <x v="2"/>
    <n v="13226"/>
    <n v="3603.5"/>
    <n v="0.27245576893996676"/>
  </r>
  <r>
    <n v="2013"/>
    <s v="2023-05-06"/>
    <x v="1"/>
    <x v="0"/>
    <x v="0"/>
    <n v="2857"/>
    <n v="535.58000000000004"/>
    <n v="0.18746237311865593"/>
  </r>
  <r>
    <n v="2014"/>
    <s v="2023-02-11"/>
    <x v="3"/>
    <x v="3"/>
    <x v="1"/>
    <n v="14109"/>
    <n v="3055.72"/>
    <n v="0.21657948826989865"/>
  </r>
  <r>
    <n v="2015"/>
    <s v="2023-11-26"/>
    <x v="1"/>
    <x v="3"/>
    <x v="2"/>
    <n v="10991"/>
    <n v="2813.26"/>
    <n v="0.25596033118005646"/>
  </r>
  <r>
    <n v="2016"/>
    <s v="2023-12-26"/>
    <x v="3"/>
    <x v="0"/>
    <x v="1"/>
    <n v="24915"/>
    <n v="6922.34"/>
    <n v="0.2778382500501706"/>
  </r>
  <r>
    <n v="2017"/>
    <s v="2024-02-16"/>
    <x v="3"/>
    <x v="5"/>
    <x v="2"/>
    <n v="15412"/>
    <n v="4486.8599999999997"/>
    <n v="0.29112769270698158"/>
  </r>
  <r>
    <n v="2018"/>
    <s v="2024-02-09"/>
    <x v="3"/>
    <x v="1"/>
    <x v="1"/>
    <n v="25766"/>
    <n v="2458.96"/>
    <n v="9.5434293254676714E-2"/>
  </r>
  <r>
    <n v="2019"/>
    <s v="2023-03-13"/>
    <x v="0"/>
    <x v="2"/>
    <x v="0"/>
    <n v="17294"/>
    <n v="4458"/>
    <n v="0.25777726379091015"/>
  </r>
  <r>
    <n v="2020"/>
    <s v="2023-08-29"/>
    <x v="2"/>
    <x v="5"/>
    <x v="1"/>
    <n v="21847"/>
    <n v="5384.75"/>
    <n v="0.24647548862544055"/>
  </r>
  <r>
    <n v="2021"/>
    <s v="2023-03-29"/>
    <x v="0"/>
    <x v="0"/>
    <x v="2"/>
    <n v="26838"/>
    <n v="2993.54"/>
    <n v="0.1115410984425069"/>
  </r>
  <r>
    <n v="2022"/>
    <s v="2023-10-24"/>
    <x v="0"/>
    <x v="0"/>
    <x v="0"/>
    <n v="5134"/>
    <n v="1486.84"/>
    <n v="0.28960654460459678"/>
  </r>
  <r>
    <n v="2023"/>
    <s v="2023-03-04"/>
    <x v="2"/>
    <x v="5"/>
    <x v="2"/>
    <n v="27326"/>
    <n v="7289.78"/>
    <n v="0.26677084095733"/>
  </r>
  <r>
    <n v="2024"/>
    <s v="2024-01-23"/>
    <x v="3"/>
    <x v="3"/>
    <x v="1"/>
    <n v="13162"/>
    <n v="1794.42"/>
    <n v="0.13633338398419695"/>
  </r>
  <r>
    <n v="2025"/>
    <s v="2023-07-29"/>
    <x v="0"/>
    <x v="2"/>
    <x v="1"/>
    <n v="26216"/>
    <n v="6334.03"/>
    <n v="0.24160932255111381"/>
  </r>
  <r>
    <n v="2026"/>
    <s v="2024-01-17"/>
    <x v="1"/>
    <x v="2"/>
    <x v="2"/>
    <n v="9593"/>
    <n v="1826.31"/>
    <n v="0.19037944334410506"/>
  </r>
  <r>
    <n v="2027"/>
    <s v="2024-02-01"/>
    <x v="1"/>
    <x v="0"/>
    <x v="1"/>
    <n v="23323"/>
    <n v="6544.96"/>
    <n v="0.28062256142005748"/>
  </r>
  <r>
    <n v="2028"/>
    <s v="2023-07-10"/>
    <x v="0"/>
    <x v="3"/>
    <x v="1"/>
    <n v="23962"/>
    <n v="5576.47"/>
    <n v="0.23272139220432353"/>
  </r>
  <r>
    <n v="2029"/>
    <s v="2023-09-06"/>
    <x v="1"/>
    <x v="4"/>
    <x v="1"/>
    <n v="12934"/>
    <n v="2040.15"/>
    <n v="0.15773542600896862"/>
  </r>
  <r>
    <n v="2030"/>
    <s v="2023-04-13"/>
    <x v="3"/>
    <x v="5"/>
    <x v="0"/>
    <n v="8726"/>
    <n v="1010.09"/>
    <n v="0.11575636030254413"/>
  </r>
  <r>
    <n v="2031"/>
    <s v="2024-03-12"/>
    <x v="3"/>
    <x v="2"/>
    <x v="2"/>
    <n v="21928"/>
    <n v="6016.97"/>
    <n v="0.27439666180226197"/>
  </r>
  <r>
    <n v="2032"/>
    <s v="2023-01-16"/>
    <x v="1"/>
    <x v="0"/>
    <x v="1"/>
    <n v="17743"/>
    <n v="1967.78"/>
    <n v="0.11090458208871104"/>
  </r>
  <r>
    <n v="2033"/>
    <s v="2023-04-08"/>
    <x v="1"/>
    <x v="5"/>
    <x v="1"/>
    <n v="27725"/>
    <n v="8251.4699999999993"/>
    <n v="0.29761839495040576"/>
  </r>
  <r>
    <n v="2034"/>
    <s v="2023-06-13"/>
    <x v="0"/>
    <x v="4"/>
    <x v="2"/>
    <n v="3414"/>
    <n v="930.58"/>
    <n v="0.27257762155828941"/>
  </r>
  <r>
    <n v="2035"/>
    <s v="2023-09-02"/>
    <x v="0"/>
    <x v="4"/>
    <x v="0"/>
    <n v="10607"/>
    <n v="2131.2199999999998"/>
    <n v="0.20092580371452812"/>
  </r>
  <r>
    <n v="2036"/>
    <s v="2023-06-20"/>
    <x v="2"/>
    <x v="2"/>
    <x v="0"/>
    <n v="16129"/>
    <n v="2139.81"/>
    <n v="0.13266848533697068"/>
  </r>
  <r>
    <n v="2037"/>
    <s v="2023-01-23"/>
    <x v="2"/>
    <x v="1"/>
    <x v="1"/>
    <n v="29280"/>
    <n v="7621.8"/>
    <n v="0.26030737704918033"/>
  </r>
  <r>
    <n v="2038"/>
    <s v="2023-02-17"/>
    <x v="2"/>
    <x v="0"/>
    <x v="2"/>
    <n v="27657"/>
    <n v="2524.79"/>
    <n v="9.1289366164081426E-2"/>
  </r>
  <r>
    <n v="2039"/>
    <s v="2023-10-02"/>
    <x v="1"/>
    <x v="2"/>
    <x v="1"/>
    <n v="6305"/>
    <n v="572.15"/>
    <n v="9.0745440126883417E-2"/>
  </r>
  <r>
    <n v="2040"/>
    <s v="2023-04-20"/>
    <x v="0"/>
    <x v="5"/>
    <x v="2"/>
    <n v="3781"/>
    <n v="451.19"/>
    <n v="0.11933086485056864"/>
  </r>
  <r>
    <n v="2041"/>
    <s v="2023-03-27"/>
    <x v="2"/>
    <x v="1"/>
    <x v="2"/>
    <n v="18956"/>
    <n v="2467.84"/>
    <n v="0.13018780333403673"/>
  </r>
  <r>
    <n v="2042"/>
    <s v="2023-07-05"/>
    <x v="3"/>
    <x v="5"/>
    <x v="1"/>
    <n v="10043"/>
    <n v="2601.09"/>
    <n v="0.2589953201234691"/>
  </r>
  <r>
    <n v="2043"/>
    <s v="2023-12-04"/>
    <x v="2"/>
    <x v="2"/>
    <x v="2"/>
    <n v="4550"/>
    <n v="1210.6400000000001"/>
    <n v="0.26607472527472531"/>
  </r>
  <r>
    <n v="2044"/>
    <s v="2024-01-29"/>
    <x v="0"/>
    <x v="1"/>
    <x v="0"/>
    <n v="1561"/>
    <n v="262.93"/>
    <n v="0.1684368994234465"/>
  </r>
  <r>
    <n v="2045"/>
    <s v="2023-04-08"/>
    <x v="3"/>
    <x v="4"/>
    <x v="0"/>
    <n v="5814"/>
    <n v="834.8"/>
    <n v="0.14358445132438941"/>
  </r>
  <r>
    <n v="2046"/>
    <s v="2023-06-19"/>
    <x v="0"/>
    <x v="0"/>
    <x v="1"/>
    <n v="19415"/>
    <n v="2927.33"/>
    <n v="0.15077671903167653"/>
  </r>
  <r>
    <n v="2047"/>
    <s v="2024-02-12"/>
    <x v="2"/>
    <x v="0"/>
    <x v="1"/>
    <n v="25651"/>
    <n v="5881.11"/>
    <n v="0.22927410237417642"/>
  </r>
  <r>
    <n v="2048"/>
    <s v="2024-02-24"/>
    <x v="3"/>
    <x v="3"/>
    <x v="0"/>
    <n v="6389"/>
    <n v="1405.72"/>
    <n v="0.22002191266238849"/>
  </r>
  <r>
    <n v="2049"/>
    <s v="2023-09-28"/>
    <x v="2"/>
    <x v="2"/>
    <x v="1"/>
    <n v="24318"/>
    <n v="5351.07"/>
    <n v="0.2200456452010856"/>
  </r>
  <r>
    <n v="2050"/>
    <s v="2023-10-03"/>
    <x v="1"/>
    <x v="5"/>
    <x v="1"/>
    <n v="18342"/>
    <n v="3698.38"/>
    <n v="0.20163450005451969"/>
  </r>
  <r>
    <n v="2051"/>
    <s v="2023-01-23"/>
    <x v="1"/>
    <x v="2"/>
    <x v="0"/>
    <n v="26135"/>
    <n v="5075.32"/>
    <n v="0.19419628850200879"/>
  </r>
  <r>
    <n v="2052"/>
    <s v="2023-10-10"/>
    <x v="1"/>
    <x v="0"/>
    <x v="0"/>
    <n v="12749"/>
    <n v="2827.85"/>
    <n v="0.22180955369048552"/>
  </r>
  <r>
    <n v="2053"/>
    <s v="2023-06-03"/>
    <x v="2"/>
    <x v="4"/>
    <x v="0"/>
    <n v="15213"/>
    <n v="4402.8900000000003"/>
    <n v="0.28941628870045361"/>
  </r>
  <r>
    <n v="2054"/>
    <s v="2023-03-17"/>
    <x v="2"/>
    <x v="3"/>
    <x v="2"/>
    <n v="22136"/>
    <n v="4251.6899999999996"/>
    <n v="0.19207128659197686"/>
  </r>
  <r>
    <n v="2055"/>
    <s v="2023-08-05"/>
    <x v="2"/>
    <x v="1"/>
    <x v="2"/>
    <n v="1291"/>
    <n v="119.66"/>
    <n v="9.2687838884585594E-2"/>
  </r>
  <r>
    <n v="2056"/>
    <s v="2023-01-03"/>
    <x v="1"/>
    <x v="5"/>
    <x v="1"/>
    <n v="1343"/>
    <n v="367.79"/>
    <n v="0.27385703648548027"/>
  </r>
  <r>
    <n v="2057"/>
    <s v="2023-01-23"/>
    <x v="0"/>
    <x v="0"/>
    <x v="1"/>
    <n v="5095"/>
    <n v="465.38"/>
    <n v="9.1340529931305203E-2"/>
  </r>
  <r>
    <n v="2058"/>
    <s v="2023-07-06"/>
    <x v="3"/>
    <x v="5"/>
    <x v="2"/>
    <n v="11686"/>
    <n v="1931.6"/>
    <n v="0.1652918021564265"/>
  </r>
  <r>
    <n v="2059"/>
    <s v="2023-03-01"/>
    <x v="2"/>
    <x v="2"/>
    <x v="0"/>
    <n v="5708"/>
    <n v="618.19000000000005"/>
    <n v="0.10830238262088299"/>
  </r>
  <r>
    <n v="2060"/>
    <s v="2023-10-29"/>
    <x v="0"/>
    <x v="4"/>
    <x v="1"/>
    <n v="18119"/>
    <n v="3917.38"/>
    <n v="0.21620288095369503"/>
  </r>
  <r>
    <n v="2061"/>
    <s v="2023-08-28"/>
    <x v="1"/>
    <x v="2"/>
    <x v="1"/>
    <n v="7758"/>
    <n v="2158.36"/>
    <n v="0.27821087909254966"/>
  </r>
  <r>
    <n v="2062"/>
    <s v="2023-07-08"/>
    <x v="0"/>
    <x v="3"/>
    <x v="1"/>
    <n v="1232"/>
    <n v="148.35"/>
    <n v="0.12041396103896103"/>
  </r>
  <r>
    <n v="2063"/>
    <s v="2023-06-17"/>
    <x v="3"/>
    <x v="4"/>
    <x v="0"/>
    <n v="8464"/>
    <n v="2470.8000000000002"/>
    <n v="0.29191871455576562"/>
  </r>
  <r>
    <n v="2064"/>
    <s v="2023-10-19"/>
    <x v="0"/>
    <x v="5"/>
    <x v="2"/>
    <n v="19886"/>
    <n v="5438.56"/>
    <n v="0.2734868751885749"/>
  </r>
  <r>
    <n v="2065"/>
    <s v="2023-05-10"/>
    <x v="3"/>
    <x v="0"/>
    <x v="0"/>
    <n v="27180"/>
    <n v="2928.05"/>
    <n v="0.1077281089036056"/>
  </r>
  <r>
    <n v="2066"/>
    <s v="2023-08-11"/>
    <x v="3"/>
    <x v="3"/>
    <x v="1"/>
    <n v="20579"/>
    <n v="3369.76"/>
    <n v="0.16374750959716217"/>
  </r>
  <r>
    <n v="2067"/>
    <s v="2023-07-08"/>
    <x v="0"/>
    <x v="1"/>
    <x v="2"/>
    <n v="29584"/>
    <n v="8247.99"/>
    <n v="0.27879901297998916"/>
  </r>
  <r>
    <n v="2068"/>
    <s v="2023-08-04"/>
    <x v="2"/>
    <x v="4"/>
    <x v="2"/>
    <n v="25651"/>
    <n v="4799.3"/>
    <n v="0.18709991813184673"/>
  </r>
  <r>
    <n v="2069"/>
    <s v="2023-03-31"/>
    <x v="1"/>
    <x v="5"/>
    <x v="0"/>
    <n v="28380"/>
    <n v="8332.5400000000009"/>
    <n v="0.29360606060606065"/>
  </r>
  <r>
    <n v="2070"/>
    <s v="2023-04-25"/>
    <x v="1"/>
    <x v="0"/>
    <x v="1"/>
    <n v="6286"/>
    <n v="1017.22"/>
    <n v="0.16182309895004773"/>
  </r>
  <r>
    <n v="2071"/>
    <s v="2023-04-17"/>
    <x v="2"/>
    <x v="5"/>
    <x v="0"/>
    <n v="4302"/>
    <n v="415.86"/>
    <n v="9.6666666666666665E-2"/>
  </r>
  <r>
    <n v="2072"/>
    <s v="2024-01-07"/>
    <x v="2"/>
    <x v="3"/>
    <x v="0"/>
    <n v="25820"/>
    <n v="4533.1400000000003"/>
    <n v="0.17556700232378003"/>
  </r>
  <r>
    <n v="2073"/>
    <s v="2023-02-24"/>
    <x v="3"/>
    <x v="4"/>
    <x v="0"/>
    <n v="27442"/>
    <n v="2756.32"/>
    <n v="0.1004416587712266"/>
  </r>
  <r>
    <n v="2074"/>
    <s v="2023-04-25"/>
    <x v="2"/>
    <x v="3"/>
    <x v="0"/>
    <n v="19227"/>
    <n v="4129.1899999999996"/>
    <n v="0.21475997295469909"/>
  </r>
  <r>
    <n v="2075"/>
    <s v="2023-04-04"/>
    <x v="3"/>
    <x v="5"/>
    <x v="0"/>
    <n v="24124"/>
    <n v="4761.88"/>
    <n v="0.19739180898690101"/>
  </r>
  <r>
    <n v="2076"/>
    <s v="2024-01-05"/>
    <x v="3"/>
    <x v="1"/>
    <x v="1"/>
    <n v="23188"/>
    <n v="4036.26"/>
    <n v="0.1740667586682767"/>
  </r>
  <r>
    <n v="2077"/>
    <s v="2023-01-18"/>
    <x v="0"/>
    <x v="4"/>
    <x v="2"/>
    <n v="14587"/>
    <n v="3159.56"/>
    <n v="0.216601083156235"/>
  </r>
  <r>
    <n v="2078"/>
    <s v="2024-03-06"/>
    <x v="3"/>
    <x v="0"/>
    <x v="1"/>
    <n v="3921"/>
    <n v="639.33000000000004"/>
    <n v="0.16305279265493497"/>
  </r>
  <r>
    <n v="2079"/>
    <s v="2024-01-09"/>
    <x v="3"/>
    <x v="5"/>
    <x v="0"/>
    <n v="2646"/>
    <n v="487.74"/>
    <n v="0.1843310657596372"/>
  </r>
  <r>
    <n v="2080"/>
    <s v="2023-10-08"/>
    <x v="2"/>
    <x v="5"/>
    <x v="2"/>
    <n v="24004"/>
    <n v="6674.98"/>
    <n v="0.27807782036327278"/>
  </r>
  <r>
    <n v="2081"/>
    <s v="2023-02-21"/>
    <x v="1"/>
    <x v="1"/>
    <x v="2"/>
    <n v="9057"/>
    <n v="2232.37"/>
    <n v="0.24648007066357513"/>
  </r>
  <r>
    <n v="2082"/>
    <s v="2023-11-10"/>
    <x v="2"/>
    <x v="3"/>
    <x v="1"/>
    <n v="13828"/>
    <n v="1459.36"/>
    <n v="0.10553659242117443"/>
  </r>
  <r>
    <n v="2083"/>
    <s v="2023-03-23"/>
    <x v="1"/>
    <x v="2"/>
    <x v="1"/>
    <n v="11299"/>
    <n v="1823.23"/>
    <n v="0.16136206743959641"/>
  </r>
  <r>
    <n v="2084"/>
    <s v="2023-07-08"/>
    <x v="0"/>
    <x v="2"/>
    <x v="0"/>
    <n v="27468"/>
    <n v="3875.95"/>
    <n v="0.14110783457113732"/>
  </r>
  <r>
    <n v="2085"/>
    <s v="2023-10-31"/>
    <x v="1"/>
    <x v="4"/>
    <x v="1"/>
    <n v="8212"/>
    <n v="2331.4699999999998"/>
    <n v="0.28391013151485628"/>
  </r>
  <r>
    <n v="2086"/>
    <s v="2024-02-06"/>
    <x v="0"/>
    <x v="3"/>
    <x v="2"/>
    <n v="29531"/>
    <n v="8237.35"/>
    <n v="0.27893908096576481"/>
  </r>
  <r>
    <n v="2087"/>
    <s v="2023-10-12"/>
    <x v="0"/>
    <x v="5"/>
    <x v="1"/>
    <n v="10935"/>
    <n v="3260.62"/>
    <n v="0.2981819844535894"/>
  </r>
  <r>
    <n v="2088"/>
    <s v="2023-02-24"/>
    <x v="1"/>
    <x v="3"/>
    <x v="0"/>
    <n v="17250"/>
    <n v="3410"/>
    <n v="0.19768115942028985"/>
  </r>
  <r>
    <n v="2089"/>
    <s v="2023-11-26"/>
    <x v="3"/>
    <x v="0"/>
    <x v="0"/>
    <n v="8897"/>
    <n v="2437.7399999999998"/>
    <n v="0.27399572889738111"/>
  </r>
  <r>
    <n v="2090"/>
    <s v="2023-01-03"/>
    <x v="2"/>
    <x v="3"/>
    <x v="1"/>
    <n v="18363"/>
    <n v="5093.22"/>
    <n v="0.27736317595164189"/>
  </r>
  <r>
    <n v="2091"/>
    <s v="2023-01-19"/>
    <x v="2"/>
    <x v="5"/>
    <x v="1"/>
    <n v="11112"/>
    <n v="2375.4499999999998"/>
    <n v="0.21377339812814974"/>
  </r>
  <r>
    <n v="2092"/>
    <s v="2024-03-04"/>
    <x v="2"/>
    <x v="4"/>
    <x v="1"/>
    <n v="4526"/>
    <n v="730.9"/>
    <n v="0.16148917366327883"/>
  </r>
  <r>
    <n v="2093"/>
    <s v="2023-12-26"/>
    <x v="3"/>
    <x v="3"/>
    <x v="0"/>
    <n v="4765"/>
    <n v="1241.5899999999999"/>
    <n v="0.26056453305351518"/>
  </r>
  <r>
    <n v="2094"/>
    <s v="2023-01-05"/>
    <x v="0"/>
    <x v="3"/>
    <x v="1"/>
    <n v="3750"/>
    <n v="550.51"/>
    <n v="0.14680266666666666"/>
  </r>
  <r>
    <n v="2095"/>
    <s v="2024-03-02"/>
    <x v="2"/>
    <x v="3"/>
    <x v="2"/>
    <n v="23013"/>
    <n v="6164.62"/>
    <n v="0.26787554860296353"/>
  </r>
  <r>
    <n v="2096"/>
    <s v="2023-02-03"/>
    <x v="3"/>
    <x v="0"/>
    <x v="0"/>
    <n v="7954"/>
    <n v="1656.4"/>
    <n v="0.20824742268041238"/>
  </r>
  <r>
    <n v="2097"/>
    <s v="2023-05-29"/>
    <x v="3"/>
    <x v="1"/>
    <x v="1"/>
    <n v="25584"/>
    <n v="6149.04"/>
    <n v="0.24034709193245779"/>
  </r>
  <r>
    <n v="2098"/>
    <s v="2024-02-16"/>
    <x v="3"/>
    <x v="3"/>
    <x v="1"/>
    <n v="28216"/>
    <n v="6908.61"/>
    <n v="0.24484724978735467"/>
  </r>
  <r>
    <n v="2099"/>
    <s v="2023-10-01"/>
    <x v="3"/>
    <x v="2"/>
    <x v="1"/>
    <n v="17482"/>
    <n v="3056.93"/>
    <n v="0.1748615719025283"/>
  </r>
  <r>
    <n v="2100"/>
    <s v="2024-01-03"/>
    <x v="3"/>
    <x v="1"/>
    <x v="2"/>
    <n v="9661"/>
    <n v="1318.07"/>
    <n v="0.13643204637201117"/>
  </r>
  <r>
    <n v="2101"/>
    <s v="2023-11-25"/>
    <x v="0"/>
    <x v="0"/>
    <x v="1"/>
    <n v="4418"/>
    <n v="929.93"/>
    <n v="0.21048664554096874"/>
  </r>
  <r>
    <n v="2102"/>
    <s v="2023-02-10"/>
    <x v="3"/>
    <x v="0"/>
    <x v="1"/>
    <n v="21141"/>
    <n v="6132.09"/>
    <n v="0.29005676174258549"/>
  </r>
  <r>
    <n v="2103"/>
    <s v="2024-03-24"/>
    <x v="2"/>
    <x v="1"/>
    <x v="2"/>
    <n v="20776"/>
    <n v="2879.03"/>
    <n v="0.13857479784366578"/>
  </r>
  <r>
    <n v="2104"/>
    <s v="2023-04-05"/>
    <x v="1"/>
    <x v="2"/>
    <x v="2"/>
    <n v="20289"/>
    <n v="3434.81"/>
    <n v="0.16929419882695057"/>
  </r>
  <r>
    <n v="2105"/>
    <s v="2023-05-06"/>
    <x v="0"/>
    <x v="1"/>
    <x v="0"/>
    <n v="20915"/>
    <n v="3630.77"/>
    <n v="0.17359646186947167"/>
  </r>
  <r>
    <n v="2106"/>
    <s v="2023-12-29"/>
    <x v="0"/>
    <x v="0"/>
    <x v="0"/>
    <n v="9183"/>
    <n v="2610.89"/>
    <n v="0.28431776108025697"/>
  </r>
  <r>
    <n v="2107"/>
    <s v="2023-11-20"/>
    <x v="0"/>
    <x v="3"/>
    <x v="0"/>
    <n v="13812"/>
    <n v="2510.7199999999998"/>
    <n v="0.18177816391543583"/>
  </r>
  <r>
    <n v="2108"/>
    <s v="2023-08-22"/>
    <x v="2"/>
    <x v="0"/>
    <x v="2"/>
    <n v="1885"/>
    <n v="338.43"/>
    <n v="0.17953846153846154"/>
  </r>
  <r>
    <n v="2109"/>
    <s v="2023-11-27"/>
    <x v="1"/>
    <x v="4"/>
    <x v="0"/>
    <n v="28708"/>
    <n v="2753.9"/>
    <n v="9.5927964330500215E-2"/>
  </r>
  <r>
    <n v="2110"/>
    <s v="2023-06-14"/>
    <x v="0"/>
    <x v="3"/>
    <x v="2"/>
    <n v="3686"/>
    <n v="994.49"/>
    <n v="0.26980195333695062"/>
  </r>
  <r>
    <n v="2111"/>
    <s v="2023-11-29"/>
    <x v="1"/>
    <x v="1"/>
    <x v="0"/>
    <n v="19821"/>
    <n v="3294.08"/>
    <n v="0.16619141314767166"/>
  </r>
  <r>
    <n v="2112"/>
    <s v="2023-07-15"/>
    <x v="0"/>
    <x v="1"/>
    <x v="2"/>
    <n v="6236"/>
    <n v="1301.9000000000001"/>
    <n v="0.2087716484926235"/>
  </r>
  <r>
    <n v="2113"/>
    <s v="2023-07-14"/>
    <x v="2"/>
    <x v="5"/>
    <x v="0"/>
    <n v="27237"/>
    <n v="4954.01"/>
    <n v="0.18188530308036863"/>
  </r>
  <r>
    <n v="2114"/>
    <s v="2023-12-26"/>
    <x v="3"/>
    <x v="5"/>
    <x v="2"/>
    <n v="27652"/>
    <n v="5223.72"/>
    <n v="0.1889093013163605"/>
  </r>
  <r>
    <n v="2115"/>
    <s v="2023-01-10"/>
    <x v="0"/>
    <x v="0"/>
    <x v="1"/>
    <n v="8397"/>
    <n v="1336.27"/>
    <n v="0.15913659640347744"/>
  </r>
  <r>
    <n v="2116"/>
    <s v="2023-01-26"/>
    <x v="1"/>
    <x v="5"/>
    <x v="1"/>
    <n v="17577"/>
    <n v="4776.8500000000004"/>
    <n v="0.27176708198213578"/>
  </r>
  <r>
    <n v="2117"/>
    <s v="2023-08-20"/>
    <x v="3"/>
    <x v="5"/>
    <x v="1"/>
    <n v="7598"/>
    <n v="799.47"/>
    <n v="0.10522111081863648"/>
  </r>
  <r>
    <n v="2118"/>
    <s v="2023-08-26"/>
    <x v="0"/>
    <x v="5"/>
    <x v="2"/>
    <n v="28193"/>
    <n v="5659.36"/>
    <n v="0.20073635299542439"/>
  </r>
  <r>
    <n v="2119"/>
    <s v="2023-04-23"/>
    <x v="1"/>
    <x v="1"/>
    <x v="1"/>
    <n v="6316"/>
    <n v="1081.08"/>
    <n v="0.17116529449018364"/>
  </r>
  <r>
    <n v="2120"/>
    <s v="2023-07-11"/>
    <x v="1"/>
    <x v="1"/>
    <x v="2"/>
    <n v="23614"/>
    <n v="5429.24"/>
    <n v="0.22991615143558905"/>
  </r>
  <r>
    <n v="2121"/>
    <s v="2023-08-20"/>
    <x v="3"/>
    <x v="3"/>
    <x v="0"/>
    <n v="10728"/>
    <n v="1577.32"/>
    <n v="0.14702833706189411"/>
  </r>
  <r>
    <n v="2122"/>
    <s v="2023-09-03"/>
    <x v="1"/>
    <x v="0"/>
    <x v="1"/>
    <n v="14877"/>
    <n v="3778.55"/>
    <n v="0.25398601868656318"/>
  </r>
  <r>
    <n v="2123"/>
    <s v="2024-02-06"/>
    <x v="3"/>
    <x v="5"/>
    <x v="2"/>
    <n v="29472"/>
    <n v="4385.79"/>
    <n v="0.14881209283387622"/>
  </r>
  <r>
    <n v="2124"/>
    <s v="2024-03-24"/>
    <x v="3"/>
    <x v="5"/>
    <x v="2"/>
    <n v="7396"/>
    <n v="1950.67"/>
    <n v="0.26374661979448349"/>
  </r>
  <r>
    <n v="2125"/>
    <s v="2023-04-17"/>
    <x v="1"/>
    <x v="0"/>
    <x v="2"/>
    <n v="24199"/>
    <n v="6012.03"/>
    <n v="0.24844125790321914"/>
  </r>
  <r>
    <n v="2126"/>
    <s v="2023-08-18"/>
    <x v="0"/>
    <x v="3"/>
    <x v="1"/>
    <n v="20792"/>
    <n v="5570.9"/>
    <n v="0.26793478260869563"/>
  </r>
  <r>
    <n v="2127"/>
    <s v="2023-06-09"/>
    <x v="2"/>
    <x v="2"/>
    <x v="0"/>
    <n v="28726"/>
    <n v="5730.64"/>
    <n v="0.19949314210123234"/>
  </r>
  <r>
    <n v="2128"/>
    <s v="2023-07-26"/>
    <x v="0"/>
    <x v="1"/>
    <x v="0"/>
    <n v="12178"/>
    <n v="2777.49"/>
    <n v="0.22807439645261945"/>
  </r>
  <r>
    <n v="2129"/>
    <s v="2023-08-01"/>
    <x v="2"/>
    <x v="0"/>
    <x v="1"/>
    <n v="19846"/>
    <n v="4490.3599999999997"/>
    <n v="0.22626020356746951"/>
  </r>
  <r>
    <n v="2130"/>
    <s v="2024-02-09"/>
    <x v="1"/>
    <x v="4"/>
    <x v="1"/>
    <n v="26367"/>
    <n v="3833.9"/>
    <n v="0.14540524140023514"/>
  </r>
  <r>
    <n v="2131"/>
    <s v="2024-01-02"/>
    <x v="0"/>
    <x v="4"/>
    <x v="0"/>
    <n v="6539"/>
    <n v="1921.59"/>
    <n v="0.29386603456185961"/>
  </r>
  <r>
    <n v="2132"/>
    <s v="2023-09-04"/>
    <x v="3"/>
    <x v="3"/>
    <x v="0"/>
    <n v="8431"/>
    <n v="823.52"/>
    <n v="9.7677618313367326E-2"/>
  </r>
  <r>
    <n v="2133"/>
    <s v="2024-02-09"/>
    <x v="2"/>
    <x v="5"/>
    <x v="2"/>
    <n v="8041"/>
    <n v="2332.5"/>
    <n v="0.29007586121129214"/>
  </r>
  <r>
    <n v="2134"/>
    <s v="2024-02-17"/>
    <x v="3"/>
    <x v="4"/>
    <x v="0"/>
    <n v="23647"/>
    <n v="5404.3"/>
    <n v="0.22854061826024444"/>
  </r>
  <r>
    <n v="2135"/>
    <s v="2024-01-11"/>
    <x v="3"/>
    <x v="1"/>
    <x v="1"/>
    <n v="14986"/>
    <n v="1222.54"/>
    <n v="8.1578806886427324E-2"/>
  </r>
  <r>
    <n v="2136"/>
    <s v="2023-08-15"/>
    <x v="1"/>
    <x v="5"/>
    <x v="0"/>
    <n v="15981"/>
    <n v="4614.21"/>
    <n v="0.28873099305425193"/>
  </r>
  <r>
    <n v="2137"/>
    <s v="2023-10-10"/>
    <x v="2"/>
    <x v="5"/>
    <x v="0"/>
    <n v="10601"/>
    <n v="1450.21"/>
    <n v="0.13679935855108008"/>
  </r>
  <r>
    <n v="2138"/>
    <s v="2023-04-25"/>
    <x v="0"/>
    <x v="4"/>
    <x v="2"/>
    <n v="3857"/>
    <n v="355.83"/>
    <n v="9.2255639097744355E-2"/>
  </r>
  <r>
    <n v="2139"/>
    <s v="2024-02-24"/>
    <x v="1"/>
    <x v="4"/>
    <x v="0"/>
    <n v="3468"/>
    <n v="438.93"/>
    <n v="0.12656574394463668"/>
  </r>
  <r>
    <n v="2140"/>
    <s v="2023-11-29"/>
    <x v="0"/>
    <x v="5"/>
    <x v="1"/>
    <n v="11848"/>
    <n v="2855.86"/>
    <n v="0.24104152599594869"/>
  </r>
  <r>
    <n v="2141"/>
    <s v="2023-04-20"/>
    <x v="1"/>
    <x v="0"/>
    <x v="2"/>
    <n v="16212"/>
    <n v="4411.8"/>
    <n v="0.27213175425610658"/>
  </r>
  <r>
    <n v="2142"/>
    <s v="2023-03-21"/>
    <x v="0"/>
    <x v="5"/>
    <x v="1"/>
    <n v="26979"/>
    <n v="2369.46"/>
    <n v="8.7826086956521734E-2"/>
  </r>
  <r>
    <n v="2143"/>
    <s v="2023-03-22"/>
    <x v="0"/>
    <x v="0"/>
    <x v="0"/>
    <n v="25307"/>
    <n v="2160.79"/>
    <n v="8.5383095586201441E-2"/>
  </r>
  <r>
    <n v="2144"/>
    <s v="2023-10-19"/>
    <x v="1"/>
    <x v="4"/>
    <x v="0"/>
    <n v="4368"/>
    <n v="877.69"/>
    <n v="0.20093635531135531"/>
  </r>
  <r>
    <n v="2145"/>
    <s v="2023-03-07"/>
    <x v="2"/>
    <x v="1"/>
    <x v="1"/>
    <n v="29287"/>
    <n v="4819.0600000000004"/>
    <n v="0.16454604432000547"/>
  </r>
  <r>
    <n v="2146"/>
    <s v="2023-02-03"/>
    <x v="1"/>
    <x v="2"/>
    <x v="2"/>
    <n v="16232"/>
    <n v="2272.7800000000002"/>
    <n v="0.1400184820108428"/>
  </r>
  <r>
    <n v="2147"/>
    <s v="2023-10-15"/>
    <x v="1"/>
    <x v="0"/>
    <x v="2"/>
    <n v="20456"/>
    <n v="1774.32"/>
    <n v="8.6738365271802897E-2"/>
  </r>
  <r>
    <n v="2148"/>
    <s v="2023-08-21"/>
    <x v="0"/>
    <x v="1"/>
    <x v="2"/>
    <n v="29991"/>
    <n v="8376.2999999999993"/>
    <n v="0.2792937881364409"/>
  </r>
  <r>
    <n v="2149"/>
    <s v="2023-09-27"/>
    <x v="0"/>
    <x v="5"/>
    <x v="2"/>
    <n v="28723"/>
    <n v="6732.17"/>
    <n v="0.23438255056923024"/>
  </r>
  <r>
    <n v="2150"/>
    <s v="2023-02-21"/>
    <x v="2"/>
    <x v="4"/>
    <x v="0"/>
    <n v="28371"/>
    <n v="8318.2900000000009"/>
    <n v="0.29319692643896939"/>
  </r>
  <r>
    <n v="2151"/>
    <s v="2023-11-06"/>
    <x v="3"/>
    <x v="2"/>
    <x v="0"/>
    <n v="6778"/>
    <n v="1715.36"/>
    <n v="0.25307760401298318"/>
  </r>
  <r>
    <n v="2152"/>
    <s v="2023-02-16"/>
    <x v="3"/>
    <x v="4"/>
    <x v="2"/>
    <n v="17584"/>
    <n v="4424.03"/>
    <n v="0.25159406278434937"/>
  </r>
  <r>
    <n v="2153"/>
    <s v="2023-04-15"/>
    <x v="2"/>
    <x v="1"/>
    <x v="1"/>
    <n v="13187"/>
    <n v="3268.43"/>
    <n v="0.24785243042390231"/>
  </r>
  <r>
    <n v="2154"/>
    <s v="2023-07-06"/>
    <x v="0"/>
    <x v="5"/>
    <x v="0"/>
    <n v="10366"/>
    <n v="1124.73"/>
    <n v="0.10850183291530002"/>
  </r>
  <r>
    <n v="2155"/>
    <s v="2024-03-02"/>
    <x v="3"/>
    <x v="4"/>
    <x v="0"/>
    <n v="3948"/>
    <n v="344.44"/>
    <n v="8.7244174265450863E-2"/>
  </r>
  <r>
    <n v="2156"/>
    <s v="2024-03-07"/>
    <x v="0"/>
    <x v="4"/>
    <x v="0"/>
    <n v="1094"/>
    <n v="87.92"/>
    <n v="8.0365630712979891E-2"/>
  </r>
  <r>
    <n v="2157"/>
    <s v="2023-02-28"/>
    <x v="0"/>
    <x v="0"/>
    <x v="1"/>
    <n v="13723"/>
    <n v="3091.66"/>
    <n v="0.22529038839903809"/>
  </r>
  <r>
    <n v="2158"/>
    <s v="2024-01-17"/>
    <x v="3"/>
    <x v="2"/>
    <x v="1"/>
    <n v="28447"/>
    <n v="8327.01"/>
    <n v="0.29272014623686154"/>
  </r>
  <r>
    <n v="2159"/>
    <s v="2023-05-15"/>
    <x v="0"/>
    <x v="4"/>
    <x v="0"/>
    <n v="9165"/>
    <n v="1208.1500000000001"/>
    <n v="0.13182214948172397"/>
  </r>
  <r>
    <n v="2160"/>
    <s v="2023-10-15"/>
    <x v="0"/>
    <x v="4"/>
    <x v="2"/>
    <n v="27569"/>
    <n v="6308"/>
    <n v="0.22880771881461062"/>
  </r>
  <r>
    <n v="2161"/>
    <s v="2023-12-05"/>
    <x v="3"/>
    <x v="4"/>
    <x v="2"/>
    <n v="29114"/>
    <n v="3030.27"/>
    <n v="0.10408291543587278"/>
  </r>
  <r>
    <n v="2162"/>
    <s v="2023-04-13"/>
    <x v="3"/>
    <x v="1"/>
    <x v="1"/>
    <n v="1650"/>
    <n v="404.15"/>
    <n v="0.24493939393939393"/>
  </r>
  <r>
    <n v="2163"/>
    <s v="2023-02-28"/>
    <x v="2"/>
    <x v="3"/>
    <x v="0"/>
    <n v="23099"/>
    <n v="4340.32"/>
    <n v="0.18790077492532142"/>
  </r>
  <r>
    <n v="2164"/>
    <s v="2023-10-06"/>
    <x v="1"/>
    <x v="2"/>
    <x v="1"/>
    <n v="18000"/>
    <n v="2540.9899999999998"/>
    <n v="0.1411661111111111"/>
  </r>
  <r>
    <n v="2165"/>
    <s v="2023-10-27"/>
    <x v="2"/>
    <x v="3"/>
    <x v="0"/>
    <n v="3833"/>
    <n v="1067.68"/>
    <n v="0.2785494390816593"/>
  </r>
  <r>
    <n v="2166"/>
    <s v="2023-04-18"/>
    <x v="3"/>
    <x v="3"/>
    <x v="2"/>
    <n v="5148"/>
    <n v="548.79999999999995"/>
    <n v="0.1066045066045066"/>
  </r>
  <r>
    <n v="2167"/>
    <s v="2023-06-11"/>
    <x v="2"/>
    <x v="4"/>
    <x v="0"/>
    <n v="23586"/>
    <n v="2940.55"/>
    <n v="0.12467353514796914"/>
  </r>
  <r>
    <n v="2168"/>
    <s v="2023-01-12"/>
    <x v="3"/>
    <x v="4"/>
    <x v="2"/>
    <n v="15543"/>
    <n v="3905.16"/>
    <n v="0.25124879366917585"/>
  </r>
  <r>
    <n v="2169"/>
    <s v="2023-10-24"/>
    <x v="3"/>
    <x v="0"/>
    <x v="0"/>
    <n v="3872"/>
    <n v="327.99"/>
    <n v="8.47081611570248E-2"/>
  </r>
  <r>
    <n v="2170"/>
    <s v="2023-10-27"/>
    <x v="2"/>
    <x v="2"/>
    <x v="1"/>
    <n v="5151"/>
    <n v="1016.55"/>
    <n v="0.1973500291205591"/>
  </r>
  <r>
    <n v="2171"/>
    <s v="2023-06-14"/>
    <x v="3"/>
    <x v="2"/>
    <x v="1"/>
    <n v="9174"/>
    <n v="1042.3800000000001"/>
    <n v="0.11362328319162852"/>
  </r>
  <r>
    <n v="2172"/>
    <s v="2023-09-13"/>
    <x v="1"/>
    <x v="2"/>
    <x v="0"/>
    <n v="7462"/>
    <n v="719.93"/>
    <n v="9.6479496113642454E-2"/>
  </r>
  <r>
    <n v="2173"/>
    <s v="2024-02-07"/>
    <x v="0"/>
    <x v="1"/>
    <x v="1"/>
    <n v="15060"/>
    <n v="3684.47"/>
    <n v="0.2446527224435591"/>
  </r>
  <r>
    <n v="2174"/>
    <s v="2024-03-02"/>
    <x v="3"/>
    <x v="0"/>
    <x v="2"/>
    <n v="26791"/>
    <n v="7675.41"/>
    <n v="0.28649210555783661"/>
  </r>
  <r>
    <n v="2175"/>
    <s v="2023-05-07"/>
    <x v="0"/>
    <x v="3"/>
    <x v="2"/>
    <n v="4721"/>
    <n v="1373.15"/>
    <n v="0.29085998729082824"/>
  </r>
  <r>
    <n v="2176"/>
    <s v="2023-01-08"/>
    <x v="2"/>
    <x v="2"/>
    <x v="1"/>
    <n v="17687"/>
    <n v="3789.87"/>
    <n v="0.21427432577599367"/>
  </r>
  <r>
    <n v="2177"/>
    <s v="2023-03-15"/>
    <x v="0"/>
    <x v="5"/>
    <x v="1"/>
    <n v="8043"/>
    <n v="1721.95"/>
    <n v="0.21409300012433172"/>
  </r>
  <r>
    <n v="2178"/>
    <s v="2023-08-26"/>
    <x v="2"/>
    <x v="2"/>
    <x v="2"/>
    <n v="28132"/>
    <n v="8356.6"/>
    <n v="0.29704962320489126"/>
  </r>
  <r>
    <n v="2179"/>
    <s v="2024-02-11"/>
    <x v="0"/>
    <x v="2"/>
    <x v="0"/>
    <n v="20613"/>
    <n v="2737.81"/>
    <n v="0.13281957987677678"/>
  </r>
  <r>
    <n v="2180"/>
    <s v="2023-04-09"/>
    <x v="2"/>
    <x v="1"/>
    <x v="1"/>
    <n v="25970"/>
    <n v="2378.34"/>
    <n v="9.1580284944166354E-2"/>
  </r>
  <r>
    <n v="2181"/>
    <s v="2023-09-05"/>
    <x v="0"/>
    <x v="1"/>
    <x v="2"/>
    <n v="26673"/>
    <n v="3285.34"/>
    <n v="0.12317099688823904"/>
  </r>
  <r>
    <n v="2182"/>
    <s v="2023-08-08"/>
    <x v="3"/>
    <x v="3"/>
    <x v="1"/>
    <n v="4526"/>
    <n v="646.12"/>
    <n v="0.14275740167918693"/>
  </r>
  <r>
    <n v="2183"/>
    <s v="2023-01-01"/>
    <x v="0"/>
    <x v="1"/>
    <x v="0"/>
    <n v="17049"/>
    <n v="1857.38"/>
    <n v="0.10894363305765735"/>
  </r>
  <r>
    <n v="2184"/>
    <s v="2023-09-07"/>
    <x v="1"/>
    <x v="3"/>
    <x v="0"/>
    <n v="9819"/>
    <n v="2690.85"/>
    <n v="0.27404521845401769"/>
  </r>
  <r>
    <n v="2185"/>
    <s v="2023-03-01"/>
    <x v="3"/>
    <x v="5"/>
    <x v="1"/>
    <n v="25291"/>
    <n v="5119.5600000000004"/>
    <n v="0.20242615950338066"/>
  </r>
  <r>
    <n v="2186"/>
    <s v="2023-07-05"/>
    <x v="1"/>
    <x v="2"/>
    <x v="2"/>
    <n v="9345"/>
    <n v="2283.84"/>
    <n v="0.2443916532905297"/>
  </r>
  <r>
    <n v="2187"/>
    <s v="2023-08-29"/>
    <x v="1"/>
    <x v="5"/>
    <x v="2"/>
    <n v="13223"/>
    <n v="1989.27"/>
    <n v="0.15044014217651061"/>
  </r>
  <r>
    <n v="2188"/>
    <s v="2024-01-18"/>
    <x v="2"/>
    <x v="5"/>
    <x v="0"/>
    <n v="18975"/>
    <n v="5677.72"/>
    <n v="0.29922108036890649"/>
  </r>
  <r>
    <n v="2189"/>
    <s v="2023-08-01"/>
    <x v="0"/>
    <x v="1"/>
    <x v="0"/>
    <n v="6820"/>
    <n v="751.23"/>
    <n v="0.11015102639296188"/>
  </r>
  <r>
    <n v="2190"/>
    <s v="2023-10-18"/>
    <x v="2"/>
    <x v="3"/>
    <x v="2"/>
    <n v="4875"/>
    <n v="1377.26"/>
    <n v="0.28251487179487178"/>
  </r>
  <r>
    <n v="2191"/>
    <s v="2023-10-11"/>
    <x v="0"/>
    <x v="0"/>
    <x v="0"/>
    <n v="15524"/>
    <n v="2011.49"/>
    <n v="0.12957291935068282"/>
  </r>
  <r>
    <n v="2192"/>
    <s v="2023-12-11"/>
    <x v="1"/>
    <x v="5"/>
    <x v="0"/>
    <n v="17091"/>
    <n v="2893.94"/>
    <n v="0.16932537592885144"/>
  </r>
  <r>
    <n v="2193"/>
    <s v="2023-09-28"/>
    <x v="1"/>
    <x v="0"/>
    <x v="2"/>
    <n v="21573"/>
    <n v="3626.28"/>
    <n v="0.16809345014601587"/>
  </r>
  <r>
    <n v="2194"/>
    <s v="2023-01-06"/>
    <x v="3"/>
    <x v="5"/>
    <x v="1"/>
    <n v="20302"/>
    <n v="2169.21"/>
    <n v="0.10684710865924539"/>
  </r>
  <r>
    <n v="2195"/>
    <s v="2023-01-13"/>
    <x v="0"/>
    <x v="5"/>
    <x v="2"/>
    <n v="17277"/>
    <n v="2872.77"/>
    <n v="0.16627713144643166"/>
  </r>
  <r>
    <n v="2196"/>
    <s v="2023-11-12"/>
    <x v="0"/>
    <x v="5"/>
    <x v="1"/>
    <n v="14715"/>
    <n v="4408.8900000000003"/>
    <n v="0.29961875637104995"/>
  </r>
  <r>
    <n v="2197"/>
    <s v="2023-03-27"/>
    <x v="3"/>
    <x v="1"/>
    <x v="2"/>
    <n v="10545"/>
    <n v="2095.25"/>
    <n v="0.19869606448553817"/>
  </r>
  <r>
    <n v="2198"/>
    <s v="2023-03-30"/>
    <x v="2"/>
    <x v="5"/>
    <x v="0"/>
    <n v="19119"/>
    <n v="2975.18"/>
    <n v="0.15561378733197342"/>
  </r>
  <r>
    <n v="2199"/>
    <s v="2023-09-27"/>
    <x v="3"/>
    <x v="3"/>
    <x v="0"/>
    <n v="20297"/>
    <n v="1742.82"/>
    <n v="8.5865891511060749E-2"/>
  </r>
  <r>
    <n v="2200"/>
    <s v="2023-11-08"/>
    <x v="2"/>
    <x v="1"/>
    <x v="2"/>
    <n v="3752"/>
    <n v="1067.8900000000001"/>
    <n v="0.28461886993603414"/>
  </r>
  <r>
    <n v="2201"/>
    <s v="2023-06-24"/>
    <x v="1"/>
    <x v="0"/>
    <x v="2"/>
    <n v="15699"/>
    <n v="2350.36"/>
    <n v="0.14971399452194409"/>
  </r>
  <r>
    <n v="2202"/>
    <s v="2023-04-25"/>
    <x v="3"/>
    <x v="4"/>
    <x v="2"/>
    <n v="16196"/>
    <n v="3092.38"/>
    <n v="0.1909347987157323"/>
  </r>
  <r>
    <n v="2203"/>
    <s v="2023-04-28"/>
    <x v="1"/>
    <x v="2"/>
    <x v="0"/>
    <n v="11968"/>
    <n v="3535.95"/>
    <n v="0.29545036764705879"/>
  </r>
  <r>
    <n v="2204"/>
    <s v="2023-02-18"/>
    <x v="2"/>
    <x v="2"/>
    <x v="0"/>
    <n v="12144"/>
    <n v="2387.81"/>
    <n v="0.19662467061923583"/>
  </r>
  <r>
    <n v="2205"/>
    <s v="2023-07-17"/>
    <x v="3"/>
    <x v="1"/>
    <x v="0"/>
    <n v="9444"/>
    <n v="1319.59"/>
    <n v="0.13972786954680219"/>
  </r>
  <r>
    <n v="2206"/>
    <s v="2023-09-02"/>
    <x v="0"/>
    <x v="4"/>
    <x v="2"/>
    <n v="27158"/>
    <n v="2744.12"/>
    <n v="0.10104278665586568"/>
  </r>
  <r>
    <n v="2207"/>
    <s v="2023-08-28"/>
    <x v="0"/>
    <x v="4"/>
    <x v="1"/>
    <n v="21688"/>
    <n v="3085.53"/>
    <n v="0.14226899668019183"/>
  </r>
  <r>
    <n v="2208"/>
    <s v="2023-12-22"/>
    <x v="0"/>
    <x v="2"/>
    <x v="1"/>
    <n v="10603"/>
    <n v="1195.26"/>
    <n v="0.11272847307365839"/>
  </r>
  <r>
    <n v="2209"/>
    <s v="2023-06-20"/>
    <x v="3"/>
    <x v="3"/>
    <x v="2"/>
    <n v="8245"/>
    <n v="1525.5"/>
    <n v="0.18502122498483931"/>
  </r>
  <r>
    <n v="2210"/>
    <s v="2023-07-27"/>
    <x v="1"/>
    <x v="1"/>
    <x v="1"/>
    <n v="22164"/>
    <n v="6203.51"/>
    <n v="0.27989126511460027"/>
  </r>
  <r>
    <n v="2211"/>
    <s v="2023-06-08"/>
    <x v="2"/>
    <x v="1"/>
    <x v="0"/>
    <n v="18778"/>
    <n v="3002.49"/>
    <n v="0.15989402492278196"/>
  </r>
  <r>
    <n v="2212"/>
    <s v="2023-05-20"/>
    <x v="2"/>
    <x v="1"/>
    <x v="2"/>
    <n v="13156"/>
    <n v="1850.88"/>
    <n v="0.14068713894800852"/>
  </r>
  <r>
    <n v="2213"/>
    <s v="2023-03-19"/>
    <x v="0"/>
    <x v="2"/>
    <x v="0"/>
    <n v="16482"/>
    <n v="4122.68"/>
    <n v="0.25013226550175949"/>
  </r>
  <r>
    <n v="2214"/>
    <s v="2023-03-06"/>
    <x v="0"/>
    <x v="4"/>
    <x v="1"/>
    <n v="12369"/>
    <n v="2850.37"/>
    <n v="0.23044466003718975"/>
  </r>
  <r>
    <n v="2215"/>
    <s v="2023-06-25"/>
    <x v="1"/>
    <x v="1"/>
    <x v="1"/>
    <n v="26002"/>
    <n v="4131.0600000000004"/>
    <n v="0.15887470194600417"/>
  </r>
  <r>
    <n v="2216"/>
    <s v="2023-07-21"/>
    <x v="0"/>
    <x v="2"/>
    <x v="2"/>
    <n v="9919"/>
    <n v="1343.12"/>
    <n v="0.13540881137211411"/>
  </r>
  <r>
    <n v="2217"/>
    <s v="2023-06-30"/>
    <x v="3"/>
    <x v="5"/>
    <x v="0"/>
    <n v="8634"/>
    <n v="2468.75"/>
    <n v="0.28593351864720873"/>
  </r>
  <r>
    <n v="2218"/>
    <s v="2023-11-07"/>
    <x v="0"/>
    <x v="2"/>
    <x v="0"/>
    <n v="19018"/>
    <n v="1661.43"/>
    <n v="8.736092123251657E-2"/>
  </r>
  <r>
    <n v="2219"/>
    <s v="2023-05-11"/>
    <x v="1"/>
    <x v="3"/>
    <x v="2"/>
    <n v="16137"/>
    <n v="3104.69"/>
    <n v="0.19239573650616595"/>
  </r>
  <r>
    <n v="2220"/>
    <s v="2023-05-04"/>
    <x v="1"/>
    <x v="1"/>
    <x v="1"/>
    <n v="7818"/>
    <n v="1078.76"/>
    <n v="0.13798413916602711"/>
  </r>
  <r>
    <n v="2221"/>
    <s v="2023-04-15"/>
    <x v="0"/>
    <x v="3"/>
    <x v="0"/>
    <n v="28476"/>
    <n v="2339.17"/>
    <n v="8.2145315353279957E-2"/>
  </r>
  <r>
    <n v="2222"/>
    <s v="2023-10-13"/>
    <x v="0"/>
    <x v="2"/>
    <x v="1"/>
    <n v="21572"/>
    <n v="2772.84"/>
    <n v="0.12853884665306881"/>
  </r>
  <r>
    <n v="2223"/>
    <s v="2023-06-08"/>
    <x v="2"/>
    <x v="3"/>
    <x v="2"/>
    <n v="4582"/>
    <n v="430.87"/>
    <n v="9.4035355739851598E-2"/>
  </r>
  <r>
    <n v="2224"/>
    <s v="2023-11-03"/>
    <x v="3"/>
    <x v="4"/>
    <x v="0"/>
    <n v="5974"/>
    <n v="1755.27"/>
    <n v="0.29381821225309673"/>
  </r>
  <r>
    <n v="2225"/>
    <s v="2023-11-24"/>
    <x v="1"/>
    <x v="3"/>
    <x v="0"/>
    <n v="14327"/>
    <n v="2732.58"/>
    <n v="0.19072939205695538"/>
  </r>
  <r>
    <n v="2226"/>
    <s v="2024-03-17"/>
    <x v="0"/>
    <x v="5"/>
    <x v="1"/>
    <n v="4546"/>
    <n v="1268.1099999999999"/>
    <n v="0.27895072591289044"/>
  </r>
  <r>
    <n v="2227"/>
    <s v="2023-04-22"/>
    <x v="3"/>
    <x v="0"/>
    <x v="2"/>
    <n v="17751"/>
    <n v="3635.83"/>
    <n v="0.20482395358007999"/>
  </r>
  <r>
    <n v="2228"/>
    <s v="2023-02-28"/>
    <x v="0"/>
    <x v="2"/>
    <x v="1"/>
    <n v="15022"/>
    <n v="1412.51"/>
    <n v="9.4029423512182131E-2"/>
  </r>
  <r>
    <n v="2229"/>
    <s v="2023-10-06"/>
    <x v="2"/>
    <x v="5"/>
    <x v="0"/>
    <n v="28081"/>
    <n v="3389.43"/>
    <n v="0.12070189808055268"/>
  </r>
  <r>
    <n v="2230"/>
    <s v="2024-01-10"/>
    <x v="1"/>
    <x v="2"/>
    <x v="1"/>
    <n v="19803"/>
    <n v="5771.22"/>
    <n v="0.29143160127253448"/>
  </r>
  <r>
    <n v="2231"/>
    <s v="2024-01-30"/>
    <x v="0"/>
    <x v="5"/>
    <x v="1"/>
    <n v="29390"/>
    <n v="2917.18"/>
    <n v="9.9257570602245659E-2"/>
  </r>
  <r>
    <n v="2232"/>
    <s v="2024-02-20"/>
    <x v="2"/>
    <x v="4"/>
    <x v="0"/>
    <n v="22497"/>
    <n v="3059.64"/>
    <n v="0.13600213361781571"/>
  </r>
  <r>
    <n v="2233"/>
    <s v="2023-06-05"/>
    <x v="2"/>
    <x v="1"/>
    <x v="1"/>
    <n v="12254"/>
    <n v="3082.58"/>
    <n v="0.25155704259833522"/>
  </r>
  <r>
    <n v="2234"/>
    <s v="2023-11-15"/>
    <x v="0"/>
    <x v="0"/>
    <x v="0"/>
    <n v="9874"/>
    <n v="2853.59"/>
    <n v="0.28900040510431435"/>
  </r>
  <r>
    <n v="2235"/>
    <s v="2023-09-18"/>
    <x v="1"/>
    <x v="1"/>
    <x v="1"/>
    <n v="5180"/>
    <n v="683.19"/>
    <n v="0.1318899613899614"/>
  </r>
  <r>
    <n v="2236"/>
    <s v="2024-02-08"/>
    <x v="3"/>
    <x v="3"/>
    <x v="1"/>
    <n v="9717"/>
    <n v="2900.3"/>
    <n v="0.29847689616136669"/>
  </r>
  <r>
    <n v="2237"/>
    <s v="2023-12-09"/>
    <x v="1"/>
    <x v="0"/>
    <x v="1"/>
    <n v="20722"/>
    <n v="2477.92"/>
    <n v="0.11957919119776084"/>
  </r>
  <r>
    <n v="2238"/>
    <s v="2023-10-25"/>
    <x v="2"/>
    <x v="3"/>
    <x v="1"/>
    <n v="21297"/>
    <n v="2717.03"/>
    <n v="0.12757806263793023"/>
  </r>
  <r>
    <n v="2239"/>
    <s v="2023-09-13"/>
    <x v="1"/>
    <x v="4"/>
    <x v="2"/>
    <n v="9091"/>
    <n v="1480.57"/>
    <n v="0.1628610713892861"/>
  </r>
  <r>
    <n v="2240"/>
    <s v="2024-01-03"/>
    <x v="2"/>
    <x v="5"/>
    <x v="2"/>
    <n v="11012"/>
    <n v="966.97"/>
    <n v="8.7810570286959683E-2"/>
  </r>
  <r>
    <n v="2241"/>
    <s v="2024-02-10"/>
    <x v="3"/>
    <x v="1"/>
    <x v="0"/>
    <n v="24451"/>
    <n v="2225.04"/>
    <n v="9.099995910187722E-2"/>
  </r>
  <r>
    <n v="2242"/>
    <s v="2023-09-24"/>
    <x v="3"/>
    <x v="1"/>
    <x v="0"/>
    <n v="17446"/>
    <n v="2395.96"/>
    <n v="0.13733577897512325"/>
  </r>
  <r>
    <n v="2243"/>
    <s v="2024-01-29"/>
    <x v="0"/>
    <x v="0"/>
    <x v="1"/>
    <n v="11292"/>
    <n v="1508.33"/>
    <n v="0.13357509741409848"/>
  </r>
  <r>
    <n v="2244"/>
    <s v="2023-11-04"/>
    <x v="0"/>
    <x v="2"/>
    <x v="2"/>
    <n v="7698"/>
    <n v="2126"/>
    <n v="0.27617563003377499"/>
  </r>
  <r>
    <n v="2245"/>
    <s v="2024-01-21"/>
    <x v="1"/>
    <x v="3"/>
    <x v="0"/>
    <n v="7946"/>
    <n v="1467.69"/>
    <n v="0.18470802919708029"/>
  </r>
  <r>
    <n v="2246"/>
    <s v="2023-09-18"/>
    <x v="1"/>
    <x v="2"/>
    <x v="2"/>
    <n v="22338"/>
    <n v="4613.7700000000004"/>
    <n v="0.20654355806249441"/>
  </r>
  <r>
    <n v="2247"/>
    <s v="2024-01-03"/>
    <x v="3"/>
    <x v="3"/>
    <x v="0"/>
    <n v="6496"/>
    <n v="1680.08"/>
    <n v="0.25863300492610836"/>
  </r>
  <r>
    <n v="2248"/>
    <s v="2023-07-03"/>
    <x v="0"/>
    <x v="1"/>
    <x v="1"/>
    <n v="4535"/>
    <n v="1083.3399999999999"/>
    <n v="0.23888423373759646"/>
  </r>
  <r>
    <n v="2249"/>
    <s v="2024-01-23"/>
    <x v="1"/>
    <x v="2"/>
    <x v="0"/>
    <n v="14300"/>
    <n v="4142.87"/>
    <n v="0.28971118881118879"/>
  </r>
  <r>
    <n v="2250"/>
    <s v="2023-11-17"/>
    <x v="0"/>
    <x v="0"/>
    <x v="2"/>
    <n v="2026"/>
    <n v="233.36"/>
    <n v="0.11518262586377098"/>
  </r>
  <r>
    <n v="2251"/>
    <s v="2023-11-21"/>
    <x v="2"/>
    <x v="2"/>
    <x v="2"/>
    <n v="13685"/>
    <n v="3739.15"/>
    <n v="0.27322981366459625"/>
  </r>
  <r>
    <n v="2252"/>
    <s v="2024-01-23"/>
    <x v="1"/>
    <x v="3"/>
    <x v="1"/>
    <n v="15513"/>
    <n v="3516.56"/>
    <n v="0.22668471604460774"/>
  </r>
  <r>
    <n v="2253"/>
    <s v="2023-06-09"/>
    <x v="0"/>
    <x v="1"/>
    <x v="2"/>
    <n v="9823"/>
    <n v="2512.88"/>
    <n v="0.25581594217652448"/>
  </r>
  <r>
    <n v="2254"/>
    <s v="2023-07-17"/>
    <x v="2"/>
    <x v="5"/>
    <x v="1"/>
    <n v="23235"/>
    <n v="2906.43"/>
    <n v="0.12508844415752096"/>
  </r>
  <r>
    <n v="2255"/>
    <s v="2023-12-21"/>
    <x v="2"/>
    <x v="5"/>
    <x v="2"/>
    <n v="19140"/>
    <n v="4377.9399999999996"/>
    <n v="0.22873249738766979"/>
  </r>
  <r>
    <n v="2256"/>
    <s v="2023-08-13"/>
    <x v="3"/>
    <x v="2"/>
    <x v="1"/>
    <n v="9800"/>
    <n v="1568.39"/>
    <n v="0.16003979591836737"/>
  </r>
  <r>
    <n v="2257"/>
    <s v="2023-04-28"/>
    <x v="3"/>
    <x v="1"/>
    <x v="2"/>
    <n v="2912"/>
    <n v="305.18"/>
    <n v="0.10480082417582418"/>
  </r>
  <r>
    <n v="2258"/>
    <s v="2023-06-11"/>
    <x v="1"/>
    <x v="0"/>
    <x v="2"/>
    <n v="17893"/>
    <n v="3648.97"/>
    <n v="0.20393282289163359"/>
  </r>
  <r>
    <n v="2259"/>
    <s v="2023-11-11"/>
    <x v="0"/>
    <x v="3"/>
    <x v="2"/>
    <n v="8523"/>
    <n v="996.24"/>
    <n v="0.11688841957057375"/>
  </r>
  <r>
    <n v="2260"/>
    <s v="2023-06-10"/>
    <x v="0"/>
    <x v="3"/>
    <x v="1"/>
    <n v="17939"/>
    <n v="4184.03"/>
    <n v="0.2332365237750153"/>
  </r>
  <r>
    <n v="2261"/>
    <s v="2023-07-11"/>
    <x v="3"/>
    <x v="0"/>
    <x v="1"/>
    <n v="3947"/>
    <n v="1079.51"/>
    <n v="0.27350139346338992"/>
  </r>
  <r>
    <n v="2262"/>
    <s v="2023-04-01"/>
    <x v="0"/>
    <x v="5"/>
    <x v="0"/>
    <n v="10884"/>
    <n v="2207.96"/>
    <n v="0.20286291804483647"/>
  </r>
  <r>
    <n v="2263"/>
    <s v="2023-12-31"/>
    <x v="0"/>
    <x v="5"/>
    <x v="0"/>
    <n v="5937"/>
    <n v="1597.63"/>
    <n v="0.26909718713154795"/>
  </r>
  <r>
    <n v="2264"/>
    <s v="2023-03-25"/>
    <x v="3"/>
    <x v="5"/>
    <x v="2"/>
    <n v="12080"/>
    <n v="3437.98"/>
    <n v="0.28460099337748346"/>
  </r>
  <r>
    <n v="2265"/>
    <s v="2023-06-14"/>
    <x v="0"/>
    <x v="3"/>
    <x v="2"/>
    <n v="7691"/>
    <n v="1501.75"/>
    <n v="0.19526069431803406"/>
  </r>
  <r>
    <n v="2266"/>
    <s v="2023-05-08"/>
    <x v="0"/>
    <x v="3"/>
    <x v="0"/>
    <n v="10032"/>
    <n v="1115.18"/>
    <n v="0.11116228070175439"/>
  </r>
  <r>
    <n v="2267"/>
    <s v="2023-08-30"/>
    <x v="1"/>
    <x v="4"/>
    <x v="1"/>
    <n v="28584"/>
    <n v="5520.09"/>
    <n v="0.19311817800167927"/>
  </r>
  <r>
    <n v="2268"/>
    <s v="2023-12-26"/>
    <x v="2"/>
    <x v="4"/>
    <x v="1"/>
    <n v="21455"/>
    <n v="3726.21"/>
    <n v="0.17367560009321836"/>
  </r>
  <r>
    <n v="2269"/>
    <s v="2023-06-24"/>
    <x v="2"/>
    <x v="5"/>
    <x v="1"/>
    <n v="7207"/>
    <n v="1848.96"/>
    <n v="0.25655057582905511"/>
  </r>
  <r>
    <n v="2270"/>
    <s v="2023-03-24"/>
    <x v="0"/>
    <x v="3"/>
    <x v="1"/>
    <n v="3673"/>
    <n v="972.88"/>
    <n v="0.26487340049006264"/>
  </r>
  <r>
    <n v="2271"/>
    <s v="2023-07-22"/>
    <x v="2"/>
    <x v="2"/>
    <x v="2"/>
    <n v="27402"/>
    <n v="7587.36"/>
    <n v="0.27689073790234286"/>
  </r>
  <r>
    <n v="2272"/>
    <s v="2023-01-19"/>
    <x v="1"/>
    <x v="0"/>
    <x v="2"/>
    <n v="5398"/>
    <n v="982.6"/>
    <n v="0.18203038162282328"/>
  </r>
  <r>
    <n v="2273"/>
    <s v="2023-11-26"/>
    <x v="0"/>
    <x v="5"/>
    <x v="0"/>
    <n v="25497"/>
    <n v="5321.64"/>
    <n v="0.2087163195670079"/>
  </r>
  <r>
    <n v="2274"/>
    <s v="2023-04-15"/>
    <x v="1"/>
    <x v="2"/>
    <x v="0"/>
    <n v="18963"/>
    <n v="2106.56"/>
    <n v="0.11108790803142962"/>
  </r>
  <r>
    <n v="2275"/>
    <s v="2024-03-03"/>
    <x v="3"/>
    <x v="2"/>
    <x v="0"/>
    <n v="19592"/>
    <n v="3548.47"/>
    <n v="0.18111831359738667"/>
  </r>
  <r>
    <n v="2276"/>
    <s v="2023-10-04"/>
    <x v="3"/>
    <x v="4"/>
    <x v="0"/>
    <n v="16437"/>
    <n v="3441.7"/>
    <n v="0.20938735779035103"/>
  </r>
  <r>
    <n v="2277"/>
    <s v="2023-09-14"/>
    <x v="0"/>
    <x v="1"/>
    <x v="1"/>
    <n v="6695"/>
    <n v="853.36"/>
    <n v="0.12746228528752801"/>
  </r>
  <r>
    <n v="2278"/>
    <s v="2024-02-19"/>
    <x v="3"/>
    <x v="3"/>
    <x v="2"/>
    <n v="13233"/>
    <n v="2869.49"/>
    <n v="0.21684349731731276"/>
  </r>
  <r>
    <n v="2279"/>
    <s v="2024-03-03"/>
    <x v="0"/>
    <x v="5"/>
    <x v="2"/>
    <n v="28135"/>
    <n v="3660.54"/>
    <n v="0.13010627332503999"/>
  </r>
  <r>
    <n v="2280"/>
    <s v="2023-02-27"/>
    <x v="3"/>
    <x v="1"/>
    <x v="2"/>
    <n v="16581"/>
    <n v="1921.84"/>
    <n v="0.11590615765032265"/>
  </r>
  <r>
    <n v="2281"/>
    <s v="2023-03-23"/>
    <x v="2"/>
    <x v="1"/>
    <x v="0"/>
    <n v="2631"/>
    <n v="684.81"/>
    <n v="0.26028506271379703"/>
  </r>
  <r>
    <n v="2282"/>
    <s v="2023-06-14"/>
    <x v="1"/>
    <x v="0"/>
    <x v="2"/>
    <n v="20986"/>
    <n v="4044.32"/>
    <n v="0.19271514342895266"/>
  </r>
  <r>
    <n v="2283"/>
    <s v="2024-02-08"/>
    <x v="0"/>
    <x v="1"/>
    <x v="1"/>
    <n v="24302"/>
    <n v="2557.16"/>
    <n v="0.10522426137766439"/>
  </r>
  <r>
    <n v="2284"/>
    <s v="2023-09-25"/>
    <x v="3"/>
    <x v="5"/>
    <x v="2"/>
    <n v="7093"/>
    <n v="947.95"/>
    <n v="0.13364584801917384"/>
  </r>
  <r>
    <n v="2285"/>
    <s v="2023-12-24"/>
    <x v="3"/>
    <x v="5"/>
    <x v="1"/>
    <n v="22681"/>
    <n v="2895.66"/>
    <n v="0.12766897403112737"/>
  </r>
  <r>
    <n v="2286"/>
    <s v="2023-09-13"/>
    <x v="1"/>
    <x v="4"/>
    <x v="1"/>
    <n v="21053"/>
    <n v="3937.82"/>
    <n v="0.18704317674440699"/>
  </r>
  <r>
    <n v="2287"/>
    <s v="2023-07-09"/>
    <x v="1"/>
    <x v="4"/>
    <x v="1"/>
    <n v="20942"/>
    <n v="4334.6899999999996"/>
    <n v="0.20698548371693246"/>
  </r>
  <r>
    <n v="2288"/>
    <s v="2023-08-04"/>
    <x v="1"/>
    <x v="2"/>
    <x v="0"/>
    <n v="17216"/>
    <n v="2281.19"/>
    <n v="0.13250406598513012"/>
  </r>
  <r>
    <n v="2289"/>
    <s v="2024-01-30"/>
    <x v="3"/>
    <x v="4"/>
    <x v="1"/>
    <n v="17875"/>
    <n v="3262.6"/>
    <n v="0.18252307692307693"/>
  </r>
  <r>
    <n v="2290"/>
    <s v="2024-01-16"/>
    <x v="3"/>
    <x v="1"/>
    <x v="2"/>
    <n v="28413"/>
    <n v="2565.96"/>
    <n v="9.0309365431316652E-2"/>
  </r>
  <r>
    <n v="2291"/>
    <s v="2023-03-19"/>
    <x v="2"/>
    <x v="0"/>
    <x v="2"/>
    <n v="2407"/>
    <n v="709.65"/>
    <n v="0.29482758620689653"/>
  </r>
  <r>
    <n v="2292"/>
    <s v="2023-03-09"/>
    <x v="3"/>
    <x v="3"/>
    <x v="1"/>
    <n v="3063"/>
    <n v="800"/>
    <n v="0.26118184786157361"/>
  </r>
  <r>
    <n v="2293"/>
    <s v="2023-03-16"/>
    <x v="0"/>
    <x v="3"/>
    <x v="1"/>
    <n v="1853"/>
    <n v="172.39"/>
    <n v="9.3032919589854282E-2"/>
  </r>
  <r>
    <n v="2294"/>
    <s v="2023-02-18"/>
    <x v="3"/>
    <x v="2"/>
    <x v="1"/>
    <n v="19269"/>
    <n v="2589.34"/>
    <n v="0.13437853547148271"/>
  </r>
  <r>
    <n v="2295"/>
    <s v="2023-08-17"/>
    <x v="3"/>
    <x v="2"/>
    <x v="2"/>
    <n v="24774"/>
    <n v="5025.59"/>
    <n v="0.20285743117784774"/>
  </r>
  <r>
    <n v="2296"/>
    <s v="2023-04-10"/>
    <x v="0"/>
    <x v="3"/>
    <x v="2"/>
    <n v="5841"/>
    <n v="699.72"/>
    <n v="0.11979455572675912"/>
  </r>
  <r>
    <n v="2297"/>
    <s v="2023-07-05"/>
    <x v="2"/>
    <x v="0"/>
    <x v="0"/>
    <n v="2233"/>
    <n v="417.97"/>
    <n v="0.18717868338557994"/>
  </r>
  <r>
    <n v="2298"/>
    <s v="2023-11-20"/>
    <x v="0"/>
    <x v="5"/>
    <x v="2"/>
    <n v="8850"/>
    <n v="1650.28"/>
    <n v="0.1864723163841808"/>
  </r>
  <r>
    <n v="2299"/>
    <s v="2023-12-28"/>
    <x v="3"/>
    <x v="2"/>
    <x v="2"/>
    <n v="7504"/>
    <n v="935.19"/>
    <n v="0.12462553304904052"/>
  </r>
  <r>
    <n v="2300"/>
    <s v="2024-01-28"/>
    <x v="0"/>
    <x v="4"/>
    <x v="2"/>
    <n v="8716"/>
    <n v="1758.04"/>
    <n v="0.2017026158788435"/>
  </r>
  <r>
    <n v="2301"/>
    <s v="2023-08-07"/>
    <x v="3"/>
    <x v="1"/>
    <x v="1"/>
    <n v="11411"/>
    <n v="3009.74"/>
    <n v="0.26375777758303387"/>
  </r>
  <r>
    <n v="2302"/>
    <s v="2024-03-12"/>
    <x v="2"/>
    <x v="3"/>
    <x v="1"/>
    <n v="12115"/>
    <n v="2558.33"/>
    <n v="0.21117044985555097"/>
  </r>
  <r>
    <n v="2303"/>
    <s v="2024-02-26"/>
    <x v="1"/>
    <x v="1"/>
    <x v="2"/>
    <n v="21909"/>
    <n v="5143.66"/>
    <n v="0.23477383723583914"/>
  </r>
  <r>
    <n v="2304"/>
    <s v="2024-03-19"/>
    <x v="2"/>
    <x v="1"/>
    <x v="1"/>
    <n v="26605"/>
    <n v="6360.83"/>
    <n v="0.23908400676564556"/>
  </r>
  <r>
    <n v="2305"/>
    <s v="2023-06-06"/>
    <x v="0"/>
    <x v="5"/>
    <x v="0"/>
    <n v="7470"/>
    <n v="1614.87"/>
    <n v="0.21618072289156626"/>
  </r>
  <r>
    <n v="2306"/>
    <s v="2023-06-15"/>
    <x v="1"/>
    <x v="3"/>
    <x v="0"/>
    <n v="4374"/>
    <n v="1036.45"/>
    <n v="0.2369570187471422"/>
  </r>
  <r>
    <n v="2307"/>
    <s v="2023-09-02"/>
    <x v="1"/>
    <x v="5"/>
    <x v="2"/>
    <n v="29149"/>
    <n v="5832.39"/>
    <n v="0.20008885382002814"/>
  </r>
  <r>
    <n v="2308"/>
    <s v="2024-01-10"/>
    <x v="3"/>
    <x v="2"/>
    <x v="1"/>
    <n v="5391"/>
    <n v="1552.96"/>
    <n v="0.28806529400853276"/>
  </r>
  <r>
    <n v="2309"/>
    <s v="2024-02-28"/>
    <x v="0"/>
    <x v="0"/>
    <x v="0"/>
    <n v="11287"/>
    <n v="999.4"/>
    <n v="8.8544343049526006E-2"/>
  </r>
  <r>
    <n v="2310"/>
    <s v="2024-03-24"/>
    <x v="1"/>
    <x v="2"/>
    <x v="0"/>
    <n v="24891"/>
    <n v="5898.75"/>
    <n v="0.23698324695673134"/>
  </r>
  <r>
    <n v="2311"/>
    <s v="2023-07-29"/>
    <x v="2"/>
    <x v="5"/>
    <x v="2"/>
    <n v="9393"/>
    <n v="2263.4699999999998"/>
    <n v="0.2409741296710316"/>
  </r>
  <r>
    <n v="2312"/>
    <s v="2023-05-28"/>
    <x v="1"/>
    <x v="2"/>
    <x v="0"/>
    <n v="21421"/>
    <n v="2659.39"/>
    <n v="0.12414873255216843"/>
  </r>
  <r>
    <n v="2313"/>
    <s v="2023-07-17"/>
    <x v="2"/>
    <x v="4"/>
    <x v="1"/>
    <n v="25382"/>
    <n v="3733.45"/>
    <n v="0.1470904578047435"/>
  </r>
  <r>
    <n v="2314"/>
    <s v="2024-01-22"/>
    <x v="1"/>
    <x v="0"/>
    <x v="1"/>
    <n v="12619"/>
    <n v="3598.22"/>
    <n v="0.2851430382756161"/>
  </r>
  <r>
    <n v="2315"/>
    <s v="2023-05-07"/>
    <x v="3"/>
    <x v="5"/>
    <x v="2"/>
    <n v="8708"/>
    <n v="966.67"/>
    <n v="0.11100941662838769"/>
  </r>
  <r>
    <n v="2316"/>
    <s v="2024-03-11"/>
    <x v="2"/>
    <x v="1"/>
    <x v="2"/>
    <n v="26197"/>
    <n v="2160.79"/>
    <n v="8.2482345306714513E-2"/>
  </r>
  <r>
    <n v="2317"/>
    <s v="2023-11-25"/>
    <x v="3"/>
    <x v="4"/>
    <x v="1"/>
    <n v="15001"/>
    <n v="2143.0700000000002"/>
    <n v="0.14286180921271915"/>
  </r>
  <r>
    <n v="2318"/>
    <s v="2023-06-15"/>
    <x v="1"/>
    <x v="5"/>
    <x v="1"/>
    <n v="14440"/>
    <n v="4233.5"/>
    <n v="0.2931786703601108"/>
  </r>
  <r>
    <n v="2319"/>
    <s v="2024-03-25"/>
    <x v="2"/>
    <x v="5"/>
    <x v="0"/>
    <n v="27990"/>
    <n v="5735.74"/>
    <n v="0.2049210432297249"/>
  </r>
  <r>
    <n v="2320"/>
    <s v="2023-12-24"/>
    <x v="3"/>
    <x v="2"/>
    <x v="1"/>
    <n v="16551"/>
    <n v="2795.19"/>
    <n v="0.16888345115098785"/>
  </r>
  <r>
    <n v="2321"/>
    <s v="2023-03-11"/>
    <x v="2"/>
    <x v="1"/>
    <x v="0"/>
    <n v="10112"/>
    <n v="1831.45"/>
    <n v="0.18111649525316456"/>
  </r>
  <r>
    <n v="2322"/>
    <s v="2023-06-29"/>
    <x v="3"/>
    <x v="1"/>
    <x v="2"/>
    <n v="13882"/>
    <n v="1699.01"/>
    <n v="0.12238942515487682"/>
  </r>
  <r>
    <n v="2323"/>
    <s v="2023-10-15"/>
    <x v="1"/>
    <x v="4"/>
    <x v="0"/>
    <n v="26216"/>
    <n v="4957.1400000000003"/>
    <n v="0.18908834299664329"/>
  </r>
  <r>
    <n v="2324"/>
    <s v="2023-12-09"/>
    <x v="0"/>
    <x v="3"/>
    <x v="2"/>
    <n v="22310"/>
    <n v="2588.09"/>
    <n v="0.11600582698341552"/>
  </r>
  <r>
    <n v="2325"/>
    <s v="2023-07-20"/>
    <x v="2"/>
    <x v="2"/>
    <x v="1"/>
    <n v="11872"/>
    <n v="1561.32"/>
    <n v="0.13151280323450135"/>
  </r>
  <r>
    <n v="2326"/>
    <s v="2023-11-18"/>
    <x v="2"/>
    <x v="2"/>
    <x v="0"/>
    <n v="21411"/>
    <n v="2784.17"/>
    <n v="0.13003456167390595"/>
  </r>
  <r>
    <n v="2327"/>
    <s v="2024-01-13"/>
    <x v="0"/>
    <x v="3"/>
    <x v="1"/>
    <n v="13364"/>
    <n v="2042.25"/>
    <n v="0.15281727027835978"/>
  </r>
  <r>
    <n v="2328"/>
    <s v="2024-01-21"/>
    <x v="3"/>
    <x v="3"/>
    <x v="0"/>
    <n v="22737"/>
    <n v="2164.34"/>
    <n v="9.5190218586445011E-2"/>
  </r>
  <r>
    <n v="2329"/>
    <s v="2024-02-10"/>
    <x v="1"/>
    <x v="4"/>
    <x v="0"/>
    <n v="17189"/>
    <n v="4195.45"/>
    <n v="0.24407760777241258"/>
  </r>
  <r>
    <n v="2330"/>
    <s v="2023-11-22"/>
    <x v="1"/>
    <x v="3"/>
    <x v="2"/>
    <n v="12175"/>
    <n v="2705.57"/>
    <n v="0.22222340862422998"/>
  </r>
  <r>
    <n v="2331"/>
    <s v="2024-03-14"/>
    <x v="1"/>
    <x v="5"/>
    <x v="2"/>
    <n v="20345"/>
    <n v="5516.56"/>
    <n v="0.27115065126566729"/>
  </r>
  <r>
    <n v="2332"/>
    <s v="2023-07-01"/>
    <x v="3"/>
    <x v="2"/>
    <x v="1"/>
    <n v="1586"/>
    <n v="337.87"/>
    <n v="0.21303278688524591"/>
  </r>
  <r>
    <n v="2333"/>
    <s v="2023-03-06"/>
    <x v="0"/>
    <x v="3"/>
    <x v="0"/>
    <n v="17400"/>
    <n v="3298.92"/>
    <n v="0.18959310344827587"/>
  </r>
  <r>
    <n v="2334"/>
    <s v="2023-04-24"/>
    <x v="3"/>
    <x v="1"/>
    <x v="0"/>
    <n v="26019"/>
    <n v="4668.01"/>
    <n v="0.17940774049732888"/>
  </r>
  <r>
    <n v="2335"/>
    <s v="2023-10-11"/>
    <x v="1"/>
    <x v="5"/>
    <x v="1"/>
    <n v="13270"/>
    <n v="2039.21"/>
    <n v="0.15367068575734741"/>
  </r>
  <r>
    <n v="2336"/>
    <s v="2024-01-12"/>
    <x v="2"/>
    <x v="3"/>
    <x v="2"/>
    <n v="15129"/>
    <n v="3368.02"/>
    <n v="0.22262013351840834"/>
  </r>
  <r>
    <n v="2337"/>
    <s v="2023-12-27"/>
    <x v="0"/>
    <x v="2"/>
    <x v="1"/>
    <n v="6584"/>
    <n v="1616.71"/>
    <n v="0.24555133657351155"/>
  </r>
  <r>
    <n v="2338"/>
    <s v="2023-11-22"/>
    <x v="1"/>
    <x v="5"/>
    <x v="0"/>
    <n v="12221"/>
    <n v="1209.4000000000001"/>
    <n v="9.8960805171426247E-2"/>
  </r>
  <r>
    <n v="2339"/>
    <s v="2024-02-05"/>
    <x v="1"/>
    <x v="1"/>
    <x v="2"/>
    <n v="13425"/>
    <n v="1424.82"/>
    <n v="0.10613184357541899"/>
  </r>
  <r>
    <n v="2340"/>
    <s v="2023-09-23"/>
    <x v="2"/>
    <x v="0"/>
    <x v="0"/>
    <n v="9620"/>
    <n v="1778.72"/>
    <n v="0.1848981288981289"/>
  </r>
  <r>
    <n v="2341"/>
    <s v="2023-01-24"/>
    <x v="3"/>
    <x v="3"/>
    <x v="0"/>
    <n v="28059"/>
    <n v="4571.91"/>
    <n v="0.16293916390462954"/>
  </r>
  <r>
    <n v="2342"/>
    <s v="2023-10-29"/>
    <x v="3"/>
    <x v="0"/>
    <x v="0"/>
    <n v="28181"/>
    <n v="7301.09"/>
    <n v="0.25907845711649696"/>
  </r>
  <r>
    <n v="2343"/>
    <s v="2023-03-04"/>
    <x v="0"/>
    <x v="3"/>
    <x v="1"/>
    <n v="14129"/>
    <n v="1221.69"/>
    <n v="8.6466841248496004E-2"/>
  </r>
  <r>
    <n v="2344"/>
    <s v="2023-07-09"/>
    <x v="1"/>
    <x v="1"/>
    <x v="1"/>
    <n v="21755"/>
    <n v="2095.02"/>
    <n v="9.6300620547000684E-2"/>
  </r>
  <r>
    <n v="2345"/>
    <s v="2023-04-01"/>
    <x v="3"/>
    <x v="2"/>
    <x v="2"/>
    <n v="19055"/>
    <n v="1845.38"/>
    <n v="9.6844922592495414E-2"/>
  </r>
  <r>
    <n v="2346"/>
    <s v="2023-04-21"/>
    <x v="1"/>
    <x v="4"/>
    <x v="2"/>
    <n v="9242"/>
    <n v="767.18"/>
    <n v="8.3010170958666946E-2"/>
  </r>
  <r>
    <n v="2347"/>
    <s v="2024-01-31"/>
    <x v="3"/>
    <x v="5"/>
    <x v="0"/>
    <n v="21732"/>
    <n v="5279.98"/>
    <n v="0.24295877047671635"/>
  </r>
  <r>
    <n v="2348"/>
    <s v="2023-12-11"/>
    <x v="3"/>
    <x v="2"/>
    <x v="1"/>
    <n v="26216"/>
    <n v="4146.7299999999996"/>
    <n v="0.15817554165395176"/>
  </r>
  <r>
    <n v="2349"/>
    <s v="2024-01-25"/>
    <x v="0"/>
    <x v="3"/>
    <x v="2"/>
    <n v="17909"/>
    <n v="2262.27"/>
    <n v="0.12632028588977609"/>
  </r>
  <r>
    <n v="2350"/>
    <s v="2023-12-16"/>
    <x v="2"/>
    <x v="4"/>
    <x v="0"/>
    <n v="8534"/>
    <n v="694.13"/>
    <n v="8.1337004921490513E-2"/>
  </r>
  <r>
    <n v="2351"/>
    <s v="2023-08-27"/>
    <x v="1"/>
    <x v="5"/>
    <x v="0"/>
    <n v="20371"/>
    <n v="4244.04"/>
    <n v="0.20833734230032891"/>
  </r>
  <r>
    <n v="2352"/>
    <s v="2023-04-13"/>
    <x v="2"/>
    <x v="4"/>
    <x v="2"/>
    <n v="26597"/>
    <n v="4029.3"/>
    <n v="0.15149452945820957"/>
  </r>
  <r>
    <n v="2353"/>
    <s v="2023-09-26"/>
    <x v="3"/>
    <x v="3"/>
    <x v="1"/>
    <n v="7451"/>
    <n v="2124.35"/>
    <n v="0.28510938129110186"/>
  </r>
  <r>
    <n v="2354"/>
    <s v="2023-08-28"/>
    <x v="3"/>
    <x v="4"/>
    <x v="1"/>
    <n v="4622"/>
    <n v="1350.65"/>
    <n v="0.29222198182604936"/>
  </r>
  <r>
    <n v="2355"/>
    <s v="2023-10-05"/>
    <x v="3"/>
    <x v="5"/>
    <x v="1"/>
    <n v="6847"/>
    <n v="581.91999999999996"/>
    <n v="8.4989046297648599E-2"/>
  </r>
  <r>
    <n v="2356"/>
    <s v="2023-09-11"/>
    <x v="3"/>
    <x v="0"/>
    <x v="2"/>
    <n v="7252"/>
    <n v="1938.94"/>
    <n v="0.26736624379481522"/>
  </r>
  <r>
    <n v="2357"/>
    <s v="2023-09-26"/>
    <x v="3"/>
    <x v="4"/>
    <x v="1"/>
    <n v="14541"/>
    <n v="3130.49"/>
    <n v="0.21528711918024893"/>
  </r>
  <r>
    <n v="2358"/>
    <s v="2023-05-09"/>
    <x v="3"/>
    <x v="2"/>
    <x v="1"/>
    <n v="5212"/>
    <n v="1544.77"/>
    <n v="0.29638718342287029"/>
  </r>
  <r>
    <n v="2359"/>
    <s v="2024-01-02"/>
    <x v="3"/>
    <x v="5"/>
    <x v="0"/>
    <n v="6252"/>
    <n v="1423.92"/>
    <n v="0.22775431861804224"/>
  </r>
  <r>
    <n v="2360"/>
    <s v="2023-01-26"/>
    <x v="2"/>
    <x v="5"/>
    <x v="2"/>
    <n v="10284"/>
    <n v="1806.36"/>
    <n v="0.17564760793465575"/>
  </r>
  <r>
    <n v="2361"/>
    <s v="2024-01-22"/>
    <x v="1"/>
    <x v="2"/>
    <x v="1"/>
    <n v="6756"/>
    <n v="1902.91"/>
    <n v="0.28166222616933095"/>
  </r>
  <r>
    <n v="2362"/>
    <s v="2023-04-22"/>
    <x v="1"/>
    <x v="4"/>
    <x v="0"/>
    <n v="15126"/>
    <n v="2943.79"/>
    <n v="0.19461787650403278"/>
  </r>
  <r>
    <n v="2363"/>
    <s v="2023-03-25"/>
    <x v="0"/>
    <x v="4"/>
    <x v="2"/>
    <n v="21032"/>
    <n v="5532.9"/>
    <n v="0.26307055914796501"/>
  </r>
  <r>
    <n v="2364"/>
    <s v="2023-01-09"/>
    <x v="0"/>
    <x v="4"/>
    <x v="2"/>
    <n v="11835"/>
    <n v="1314.03"/>
    <n v="0.11102915082382762"/>
  </r>
  <r>
    <n v="2365"/>
    <s v="2023-08-02"/>
    <x v="3"/>
    <x v="0"/>
    <x v="0"/>
    <n v="26097"/>
    <n v="5634.76"/>
    <n v="0.21591600567114994"/>
  </r>
  <r>
    <n v="2366"/>
    <s v="2023-08-17"/>
    <x v="2"/>
    <x v="0"/>
    <x v="0"/>
    <n v="8841"/>
    <n v="1538.08"/>
    <n v="0.17397127021830108"/>
  </r>
  <r>
    <n v="2367"/>
    <s v="2023-12-20"/>
    <x v="3"/>
    <x v="3"/>
    <x v="1"/>
    <n v="2636"/>
    <n v="709.11"/>
    <n v="0.26900986342943856"/>
  </r>
  <r>
    <n v="2368"/>
    <s v="2023-08-19"/>
    <x v="3"/>
    <x v="4"/>
    <x v="1"/>
    <n v="11451"/>
    <n v="2133.0500000000002"/>
    <n v="0.18627630774604839"/>
  </r>
  <r>
    <n v="2369"/>
    <s v="2024-01-23"/>
    <x v="2"/>
    <x v="5"/>
    <x v="0"/>
    <n v="11300"/>
    <n v="1096.27"/>
    <n v="9.7015044247787605E-2"/>
  </r>
  <r>
    <n v="2370"/>
    <s v="2023-01-10"/>
    <x v="0"/>
    <x v="0"/>
    <x v="0"/>
    <n v="18675"/>
    <n v="2581.27"/>
    <n v="0.1382206157965194"/>
  </r>
  <r>
    <n v="2371"/>
    <s v="2023-05-11"/>
    <x v="2"/>
    <x v="0"/>
    <x v="0"/>
    <n v="23394"/>
    <n v="5410.57"/>
    <n v="0.23128024279729845"/>
  </r>
  <r>
    <n v="2372"/>
    <s v="2023-09-27"/>
    <x v="0"/>
    <x v="1"/>
    <x v="2"/>
    <n v="13596"/>
    <n v="1762"/>
    <n v="0.12959694027655191"/>
  </r>
  <r>
    <n v="2373"/>
    <s v="2024-01-29"/>
    <x v="3"/>
    <x v="5"/>
    <x v="1"/>
    <n v="27110"/>
    <n v="7486.23"/>
    <n v="0.276142751752121"/>
  </r>
  <r>
    <n v="2374"/>
    <s v="2023-11-19"/>
    <x v="1"/>
    <x v="4"/>
    <x v="1"/>
    <n v="22289"/>
    <n v="5520.73"/>
    <n v="0.24768854591951184"/>
  </r>
  <r>
    <n v="2375"/>
    <s v="2024-02-03"/>
    <x v="1"/>
    <x v="2"/>
    <x v="2"/>
    <n v="24298"/>
    <n v="2879.71"/>
    <n v="0.11851633879331633"/>
  </r>
  <r>
    <n v="2376"/>
    <s v="2023-08-13"/>
    <x v="3"/>
    <x v="5"/>
    <x v="2"/>
    <n v="22007"/>
    <n v="3334.15"/>
    <n v="0.15150406688780843"/>
  </r>
  <r>
    <n v="2377"/>
    <s v="2023-12-16"/>
    <x v="3"/>
    <x v="4"/>
    <x v="0"/>
    <n v="4252"/>
    <n v="989.94"/>
    <n v="0.23281749764816559"/>
  </r>
  <r>
    <n v="2378"/>
    <s v="2023-09-01"/>
    <x v="1"/>
    <x v="1"/>
    <x v="0"/>
    <n v="6337"/>
    <n v="1585.1"/>
    <n v="0.25013413287044339"/>
  </r>
  <r>
    <n v="2379"/>
    <s v="2023-10-05"/>
    <x v="2"/>
    <x v="1"/>
    <x v="2"/>
    <n v="16601"/>
    <n v="2564.2800000000002"/>
    <n v="0.15446539365098488"/>
  </r>
  <r>
    <n v="2380"/>
    <s v="2023-11-22"/>
    <x v="3"/>
    <x v="1"/>
    <x v="2"/>
    <n v="21129"/>
    <n v="3031.92"/>
    <n v="0.14349566945903736"/>
  </r>
  <r>
    <n v="2381"/>
    <s v="2023-03-22"/>
    <x v="1"/>
    <x v="5"/>
    <x v="1"/>
    <n v="1589"/>
    <n v="204.41"/>
    <n v="0.12864065449968534"/>
  </r>
  <r>
    <n v="2382"/>
    <s v="2023-11-21"/>
    <x v="2"/>
    <x v="5"/>
    <x v="2"/>
    <n v="29317"/>
    <n v="3750.99"/>
    <n v="0.12794590169526213"/>
  </r>
  <r>
    <n v="2383"/>
    <s v="2024-02-13"/>
    <x v="3"/>
    <x v="1"/>
    <x v="1"/>
    <n v="2684"/>
    <n v="748.72"/>
    <n v="0.27895678092399406"/>
  </r>
  <r>
    <n v="2384"/>
    <s v="2023-01-03"/>
    <x v="3"/>
    <x v="5"/>
    <x v="2"/>
    <n v="3448"/>
    <n v="736.68"/>
    <n v="0.21365429234338745"/>
  </r>
  <r>
    <n v="2385"/>
    <s v="2024-02-09"/>
    <x v="0"/>
    <x v="2"/>
    <x v="0"/>
    <n v="6046"/>
    <n v="1458.47"/>
    <n v="0.24122891167714192"/>
  </r>
  <r>
    <n v="2386"/>
    <s v="2023-05-09"/>
    <x v="0"/>
    <x v="0"/>
    <x v="1"/>
    <n v="6659"/>
    <n v="1211.23"/>
    <n v="0.1818936777293888"/>
  </r>
  <r>
    <n v="2387"/>
    <s v="2024-02-16"/>
    <x v="1"/>
    <x v="4"/>
    <x v="0"/>
    <n v="3821"/>
    <n v="521.95000000000005"/>
    <n v="0.13660036639623135"/>
  </r>
  <r>
    <n v="2388"/>
    <s v="2023-01-02"/>
    <x v="0"/>
    <x v="5"/>
    <x v="1"/>
    <n v="16888"/>
    <n v="1699.23"/>
    <n v="0.10061759829464709"/>
  </r>
  <r>
    <n v="2389"/>
    <s v="2023-02-15"/>
    <x v="1"/>
    <x v="3"/>
    <x v="2"/>
    <n v="1841"/>
    <n v="277.76"/>
    <n v="0.1508745247148289"/>
  </r>
  <r>
    <n v="2390"/>
    <s v="2024-03-04"/>
    <x v="3"/>
    <x v="4"/>
    <x v="0"/>
    <n v="21636"/>
    <n v="6427.34"/>
    <n v="0.29706692549454611"/>
  </r>
  <r>
    <n v="2391"/>
    <s v="2023-11-14"/>
    <x v="3"/>
    <x v="1"/>
    <x v="2"/>
    <n v="27951"/>
    <n v="5664.4"/>
    <n v="0.20265464562985222"/>
  </r>
  <r>
    <n v="2392"/>
    <s v="2023-03-05"/>
    <x v="0"/>
    <x v="1"/>
    <x v="0"/>
    <n v="9489"/>
    <n v="2672.45"/>
    <n v="0.28163663188955629"/>
  </r>
  <r>
    <n v="2393"/>
    <s v="2023-10-01"/>
    <x v="3"/>
    <x v="4"/>
    <x v="1"/>
    <n v="17489"/>
    <n v="1663.98"/>
    <n v="9.5144376465206709E-2"/>
  </r>
  <r>
    <n v="2394"/>
    <s v="2023-06-11"/>
    <x v="1"/>
    <x v="4"/>
    <x v="0"/>
    <n v="19220"/>
    <n v="1818.24"/>
    <n v="9.4601456815816859E-2"/>
  </r>
  <r>
    <n v="2395"/>
    <s v="2023-12-25"/>
    <x v="0"/>
    <x v="0"/>
    <x v="0"/>
    <n v="28526"/>
    <n v="5248.55"/>
    <n v="0.18399179695716189"/>
  </r>
  <r>
    <n v="2396"/>
    <s v="2023-10-09"/>
    <x v="2"/>
    <x v="1"/>
    <x v="1"/>
    <n v="25734"/>
    <n v="4165.5200000000004"/>
    <n v="0.16186834537965339"/>
  </r>
  <r>
    <n v="2397"/>
    <s v="2023-09-06"/>
    <x v="2"/>
    <x v="5"/>
    <x v="2"/>
    <n v="5608"/>
    <n v="994.24"/>
    <n v="0.17728958630527816"/>
  </r>
  <r>
    <n v="2398"/>
    <s v="2023-08-01"/>
    <x v="3"/>
    <x v="2"/>
    <x v="2"/>
    <n v="4210"/>
    <n v="594.15"/>
    <n v="0.14112826603325415"/>
  </r>
  <r>
    <n v="2399"/>
    <s v="2024-02-29"/>
    <x v="1"/>
    <x v="2"/>
    <x v="1"/>
    <n v="23577"/>
    <n v="3283.53"/>
    <n v="0.13926835475251306"/>
  </r>
  <r>
    <n v="2400"/>
    <s v="2023-05-22"/>
    <x v="0"/>
    <x v="3"/>
    <x v="2"/>
    <n v="29938"/>
    <n v="5587.48"/>
    <n v="0.18663504576123988"/>
  </r>
  <r>
    <n v="2401"/>
    <s v="2024-01-30"/>
    <x v="3"/>
    <x v="0"/>
    <x v="2"/>
    <n v="23840"/>
    <n v="6453.96"/>
    <n v="0.27071979865771811"/>
  </r>
  <r>
    <n v="2402"/>
    <s v="2023-11-29"/>
    <x v="3"/>
    <x v="3"/>
    <x v="2"/>
    <n v="2979"/>
    <n v="787.73"/>
    <n v="0.26442766028868747"/>
  </r>
  <r>
    <n v="2403"/>
    <s v="2023-10-18"/>
    <x v="3"/>
    <x v="1"/>
    <x v="1"/>
    <n v="19654"/>
    <n v="5591.84"/>
    <n v="0.28451409382314036"/>
  </r>
  <r>
    <n v="2404"/>
    <s v="2023-08-16"/>
    <x v="1"/>
    <x v="5"/>
    <x v="1"/>
    <n v="22241"/>
    <n v="5072.25"/>
    <n v="0.22805854053324939"/>
  </r>
  <r>
    <n v="2405"/>
    <s v="2023-08-08"/>
    <x v="2"/>
    <x v="2"/>
    <x v="1"/>
    <n v="24730"/>
    <n v="6761.02"/>
    <n v="0.27339344925192077"/>
  </r>
  <r>
    <n v="2406"/>
    <s v="2023-09-13"/>
    <x v="1"/>
    <x v="0"/>
    <x v="0"/>
    <n v="10874"/>
    <n v="2532.08"/>
    <n v="0.23285635460732021"/>
  </r>
  <r>
    <n v="2407"/>
    <s v="2023-07-18"/>
    <x v="0"/>
    <x v="4"/>
    <x v="0"/>
    <n v="11768"/>
    <n v="1598.31"/>
    <n v="0.13581832087015636"/>
  </r>
  <r>
    <n v="2408"/>
    <s v="2023-02-07"/>
    <x v="0"/>
    <x v="3"/>
    <x v="2"/>
    <n v="20868"/>
    <n v="3861.48"/>
    <n v="0.1850431282346176"/>
  </r>
  <r>
    <n v="2409"/>
    <s v="2023-11-17"/>
    <x v="3"/>
    <x v="5"/>
    <x v="0"/>
    <n v="10566"/>
    <n v="3041.89"/>
    <n v="0.28789418890781754"/>
  </r>
  <r>
    <n v="2410"/>
    <s v="2023-08-21"/>
    <x v="0"/>
    <x v="4"/>
    <x v="0"/>
    <n v="3331"/>
    <n v="580.74"/>
    <n v="0.17434404082858002"/>
  </r>
  <r>
    <n v="2411"/>
    <s v="2023-02-10"/>
    <x v="3"/>
    <x v="1"/>
    <x v="0"/>
    <n v="27620"/>
    <n v="3453.25"/>
    <n v="0.12502715423606084"/>
  </r>
  <r>
    <n v="2412"/>
    <s v="2023-01-21"/>
    <x v="1"/>
    <x v="2"/>
    <x v="1"/>
    <n v="3615"/>
    <n v="372.98"/>
    <n v="0.10317565698478562"/>
  </r>
  <r>
    <n v="2413"/>
    <s v="2023-08-05"/>
    <x v="1"/>
    <x v="2"/>
    <x v="0"/>
    <n v="17350"/>
    <n v="1740"/>
    <n v="0.10028818443804034"/>
  </r>
  <r>
    <n v="2414"/>
    <s v="2024-01-26"/>
    <x v="0"/>
    <x v="1"/>
    <x v="2"/>
    <n v="13496"/>
    <n v="3937.23"/>
    <n v="0.29173310610551273"/>
  </r>
  <r>
    <n v="2415"/>
    <s v="2023-05-13"/>
    <x v="1"/>
    <x v="3"/>
    <x v="2"/>
    <n v="20070"/>
    <n v="5898.74"/>
    <n v="0.29390832087693075"/>
  </r>
  <r>
    <n v="2416"/>
    <s v="2024-02-24"/>
    <x v="0"/>
    <x v="3"/>
    <x v="0"/>
    <n v="15734"/>
    <n v="2334.2800000000002"/>
    <n v="0.14835896784034577"/>
  </r>
  <r>
    <n v="2417"/>
    <s v="2023-02-26"/>
    <x v="2"/>
    <x v="3"/>
    <x v="1"/>
    <n v="23629"/>
    <n v="5987.83"/>
    <n v="0.25341021625968091"/>
  </r>
  <r>
    <n v="2418"/>
    <s v="2023-11-22"/>
    <x v="2"/>
    <x v="2"/>
    <x v="2"/>
    <n v="1826"/>
    <n v="244.96"/>
    <n v="0.13415115005476452"/>
  </r>
  <r>
    <n v="2419"/>
    <s v="2023-06-02"/>
    <x v="1"/>
    <x v="2"/>
    <x v="0"/>
    <n v="1286"/>
    <n v="327.51"/>
    <n v="0.25467340590979781"/>
  </r>
  <r>
    <n v="2420"/>
    <s v="2023-01-26"/>
    <x v="0"/>
    <x v="4"/>
    <x v="2"/>
    <n v="15024"/>
    <n v="3941.32"/>
    <n v="0.26233493077742281"/>
  </r>
  <r>
    <n v="2421"/>
    <s v="2023-12-25"/>
    <x v="1"/>
    <x v="3"/>
    <x v="1"/>
    <n v="8439"/>
    <n v="1117.3599999999999"/>
    <n v="0.13240431330726388"/>
  </r>
  <r>
    <n v="2422"/>
    <s v="2023-07-16"/>
    <x v="0"/>
    <x v="2"/>
    <x v="1"/>
    <n v="23619"/>
    <n v="3044.39"/>
    <n v="0.12889580422541175"/>
  </r>
  <r>
    <n v="2423"/>
    <s v="2023-09-16"/>
    <x v="0"/>
    <x v="3"/>
    <x v="1"/>
    <n v="15336"/>
    <n v="3711.08"/>
    <n v="0.24198487219613979"/>
  </r>
  <r>
    <n v="2424"/>
    <s v="2023-05-09"/>
    <x v="1"/>
    <x v="4"/>
    <x v="2"/>
    <n v="12236"/>
    <n v="2979.09"/>
    <n v="0.24346927100359597"/>
  </r>
  <r>
    <n v="2425"/>
    <s v="2023-04-20"/>
    <x v="3"/>
    <x v="4"/>
    <x v="2"/>
    <n v="27178"/>
    <n v="6379.87"/>
    <n v="0.23474391051585841"/>
  </r>
  <r>
    <n v="2426"/>
    <s v="2023-02-09"/>
    <x v="3"/>
    <x v="0"/>
    <x v="2"/>
    <n v="5152"/>
    <n v="1250.99"/>
    <n v="0.24281638198757763"/>
  </r>
  <r>
    <n v="2427"/>
    <s v="2023-04-07"/>
    <x v="3"/>
    <x v="3"/>
    <x v="0"/>
    <n v="29171"/>
    <n v="7613.99"/>
    <n v="0.26101230674299819"/>
  </r>
  <r>
    <n v="2428"/>
    <s v="2023-06-08"/>
    <x v="0"/>
    <x v="1"/>
    <x v="1"/>
    <n v="9371"/>
    <n v="1381.06"/>
    <n v="0.14737594707075019"/>
  </r>
  <r>
    <n v="2429"/>
    <s v="2024-02-21"/>
    <x v="0"/>
    <x v="4"/>
    <x v="2"/>
    <n v="7059"/>
    <n v="1135.06"/>
    <n v="0.16079614676299758"/>
  </r>
  <r>
    <n v="2430"/>
    <s v="2023-01-21"/>
    <x v="2"/>
    <x v="2"/>
    <x v="0"/>
    <n v="16950"/>
    <n v="2188.2399999999998"/>
    <n v="0.12909970501474924"/>
  </r>
  <r>
    <n v="2431"/>
    <s v="2023-10-20"/>
    <x v="2"/>
    <x v="4"/>
    <x v="2"/>
    <n v="21671"/>
    <n v="4291.72"/>
    <n v="0.19803977666005262"/>
  </r>
  <r>
    <n v="2432"/>
    <s v="2023-12-10"/>
    <x v="0"/>
    <x v="4"/>
    <x v="1"/>
    <n v="13799"/>
    <n v="1424.44"/>
    <n v="0.10322777012827017"/>
  </r>
  <r>
    <n v="2433"/>
    <s v="2023-07-17"/>
    <x v="2"/>
    <x v="1"/>
    <x v="0"/>
    <n v="14712"/>
    <n v="1373.78"/>
    <n v="9.3378194671016851E-2"/>
  </r>
  <r>
    <n v="2434"/>
    <s v="2024-03-19"/>
    <x v="0"/>
    <x v="4"/>
    <x v="2"/>
    <n v="14046"/>
    <n v="3377.97"/>
    <n v="0.24049337889790687"/>
  </r>
  <r>
    <n v="2435"/>
    <s v="2023-09-26"/>
    <x v="1"/>
    <x v="0"/>
    <x v="2"/>
    <n v="9958"/>
    <n v="922.33"/>
    <n v="9.262201245229966E-2"/>
  </r>
  <r>
    <n v="2436"/>
    <s v="2023-11-04"/>
    <x v="1"/>
    <x v="2"/>
    <x v="2"/>
    <n v="28047"/>
    <n v="7535.62"/>
    <n v="0.26867829001319216"/>
  </r>
  <r>
    <n v="2437"/>
    <s v="2024-02-02"/>
    <x v="3"/>
    <x v="0"/>
    <x v="2"/>
    <n v="15865"/>
    <n v="3324.78"/>
    <n v="0.20956697132051688"/>
  </r>
  <r>
    <n v="2438"/>
    <s v="2023-06-11"/>
    <x v="2"/>
    <x v="3"/>
    <x v="1"/>
    <n v="1267"/>
    <n v="205.72"/>
    <n v="0.16236779794790845"/>
  </r>
  <r>
    <n v="2439"/>
    <s v="2023-06-06"/>
    <x v="0"/>
    <x v="0"/>
    <x v="0"/>
    <n v="9677"/>
    <n v="2189.7199999999998"/>
    <n v="0.22628087217112738"/>
  </r>
  <r>
    <n v="2440"/>
    <s v="2024-02-14"/>
    <x v="1"/>
    <x v="1"/>
    <x v="2"/>
    <n v="26498"/>
    <n v="4429.21"/>
    <n v="0.16715261529172012"/>
  </r>
  <r>
    <n v="2441"/>
    <s v="2023-08-09"/>
    <x v="0"/>
    <x v="2"/>
    <x v="2"/>
    <n v="25594"/>
    <n v="6807.54"/>
    <n v="0.26598187075095725"/>
  </r>
  <r>
    <n v="2442"/>
    <s v="2024-01-15"/>
    <x v="3"/>
    <x v="4"/>
    <x v="0"/>
    <n v="7381"/>
    <n v="1508.57"/>
    <n v="0.20438558460913153"/>
  </r>
  <r>
    <n v="2443"/>
    <s v="2024-02-06"/>
    <x v="1"/>
    <x v="3"/>
    <x v="1"/>
    <n v="2965"/>
    <n v="772.09"/>
    <n v="0.26040134907251267"/>
  </r>
  <r>
    <n v="2444"/>
    <s v="2023-04-06"/>
    <x v="1"/>
    <x v="2"/>
    <x v="0"/>
    <n v="13009"/>
    <n v="3532.38"/>
    <n v="0.27153355369359677"/>
  </r>
  <r>
    <n v="2445"/>
    <s v="2023-09-05"/>
    <x v="2"/>
    <x v="0"/>
    <x v="2"/>
    <n v="18738"/>
    <n v="4012.14"/>
    <n v="0.21411783541466539"/>
  </r>
  <r>
    <n v="2446"/>
    <s v="2023-09-03"/>
    <x v="1"/>
    <x v="5"/>
    <x v="1"/>
    <n v="1718"/>
    <n v="209.62"/>
    <n v="0.1220139697322468"/>
  </r>
  <r>
    <n v="2447"/>
    <s v="2023-06-28"/>
    <x v="3"/>
    <x v="1"/>
    <x v="2"/>
    <n v="10576"/>
    <n v="2632.71"/>
    <n v="0.24893248865355522"/>
  </r>
  <r>
    <n v="2448"/>
    <s v="2023-05-25"/>
    <x v="1"/>
    <x v="3"/>
    <x v="2"/>
    <n v="5941"/>
    <n v="1649.52"/>
    <n v="0.2776502272344723"/>
  </r>
  <r>
    <n v="2449"/>
    <s v="2023-02-18"/>
    <x v="2"/>
    <x v="1"/>
    <x v="1"/>
    <n v="1739"/>
    <n v="191.59"/>
    <n v="0.11017251293847038"/>
  </r>
  <r>
    <n v="2450"/>
    <s v="2023-06-16"/>
    <x v="0"/>
    <x v="2"/>
    <x v="2"/>
    <n v="12786"/>
    <n v="1965.22"/>
    <n v="0.15370092288440482"/>
  </r>
  <r>
    <n v="2451"/>
    <s v="2023-04-26"/>
    <x v="2"/>
    <x v="0"/>
    <x v="2"/>
    <n v="19965"/>
    <n v="2871.25"/>
    <n v="0.14381417480591036"/>
  </r>
  <r>
    <n v="2452"/>
    <s v="2023-10-03"/>
    <x v="0"/>
    <x v="2"/>
    <x v="2"/>
    <n v="20741"/>
    <n v="6099.13"/>
    <n v="0.2940615206595632"/>
  </r>
  <r>
    <n v="2453"/>
    <s v="2023-12-02"/>
    <x v="1"/>
    <x v="2"/>
    <x v="1"/>
    <n v="1166"/>
    <n v="299"/>
    <n v="0.25643224699828471"/>
  </r>
  <r>
    <n v="2454"/>
    <s v="2024-02-14"/>
    <x v="3"/>
    <x v="3"/>
    <x v="1"/>
    <n v="19842"/>
    <n v="4388.8999999999996"/>
    <n v="0.22119242011893961"/>
  </r>
  <r>
    <n v="2455"/>
    <s v="2023-02-11"/>
    <x v="3"/>
    <x v="1"/>
    <x v="0"/>
    <n v="27699"/>
    <n v="6364.22"/>
    <n v="0.22976352936929131"/>
  </r>
  <r>
    <n v="2456"/>
    <s v="2023-02-22"/>
    <x v="1"/>
    <x v="4"/>
    <x v="1"/>
    <n v="23405"/>
    <n v="5024.07"/>
    <n v="0.21465797906430248"/>
  </r>
  <r>
    <n v="2457"/>
    <s v="2023-09-07"/>
    <x v="3"/>
    <x v="1"/>
    <x v="2"/>
    <n v="22336"/>
    <n v="4851.01"/>
    <n v="0.21718347063037249"/>
  </r>
  <r>
    <n v="2458"/>
    <s v="2023-12-02"/>
    <x v="3"/>
    <x v="0"/>
    <x v="2"/>
    <n v="21907"/>
    <n v="2334.15"/>
    <n v="0.10654813529921943"/>
  </r>
  <r>
    <n v="2459"/>
    <s v="2023-11-16"/>
    <x v="1"/>
    <x v="4"/>
    <x v="1"/>
    <n v="5025"/>
    <n v="1106.05"/>
    <n v="0.22010945273631841"/>
  </r>
  <r>
    <n v="2460"/>
    <s v="2023-03-02"/>
    <x v="0"/>
    <x v="4"/>
    <x v="2"/>
    <n v="13375"/>
    <n v="1928.49"/>
    <n v="0.14418616822429905"/>
  </r>
  <r>
    <n v="2461"/>
    <s v="2023-10-05"/>
    <x v="1"/>
    <x v="1"/>
    <x v="1"/>
    <n v="17255"/>
    <n v="3601.96"/>
    <n v="0.20874876847290641"/>
  </r>
  <r>
    <n v="2462"/>
    <s v="2023-12-11"/>
    <x v="0"/>
    <x v="3"/>
    <x v="0"/>
    <n v="25476"/>
    <n v="3695.85"/>
    <n v="0.14507183231276496"/>
  </r>
  <r>
    <n v="2463"/>
    <s v="2023-12-11"/>
    <x v="1"/>
    <x v="2"/>
    <x v="2"/>
    <n v="24062"/>
    <n v="2574.6999999999998"/>
    <n v="0.10700274291413847"/>
  </r>
  <r>
    <n v="2464"/>
    <s v="2023-03-19"/>
    <x v="2"/>
    <x v="5"/>
    <x v="0"/>
    <n v="6138"/>
    <n v="1506.1"/>
    <n v="0.24537308569566632"/>
  </r>
  <r>
    <n v="2465"/>
    <s v="2023-08-30"/>
    <x v="0"/>
    <x v="4"/>
    <x v="2"/>
    <n v="19640"/>
    <n v="4352.18"/>
    <n v="0.22159775967413445"/>
  </r>
  <r>
    <n v="2466"/>
    <s v="2024-01-26"/>
    <x v="0"/>
    <x v="5"/>
    <x v="2"/>
    <n v="4062"/>
    <n v="864.53"/>
    <n v="0.21283357951747905"/>
  </r>
  <r>
    <n v="2467"/>
    <s v="2023-06-02"/>
    <x v="1"/>
    <x v="4"/>
    <x v="1"/>
    <n v="4049"/>
    <n v="494.78"/>
    <n v="0.12219807359841936"/>
  </r>
  <r>
    <n v="2468"/>
    <s v="2023-10-18"/>
    <x v="1"/>
    <x v="2"/>
    <x v="0"/>
    <n v="13887"/>
    <n v="2466.9299999999998"/>
    <n v="0.17764311946424713"/>
  </r>
  <r>
    <n v="2469"/>
    <s v="2023-12-12"/>
    <x v="0"/>
    <x v="5"/>
    <x v="0"/>
    <n v="2394"/>
    <n v="451.93"/>
    <n v="0.18877610693400168"/>
  </r>
  <r>
    <n v="2470"/>
    <s v="2024-01-10"/>
    <x v="2"/>
    <x v="1"/>
    <x v="1"/>
    <n v="24465"/>
    <n v="2641.42"/>
    <n v="0.10796730022481096"/>
  </r>
  <r>
    <n v="2471"/>
    <s v="2023-05-16"/>
    <x v="1"/>
    <x v="1"/>
    <x v="2"/>
    <n v="27356"/>
    <n v="5563.25"/>
    <n v="0.20336489252814738"/>
  </r>
  <r>
    <n v="2472"/>
    <s v="2023-02-10"/>
    <x v="1"/>
    <x v="1"/>
    <x v="0"/>
    <n v="16565"/>
    <n v="4836.3100000000004"/>
    <n v="0.29195955327497741"/>
  </r>
  <r>
    <n v="2473"/>
    <s v="2023-06-01"/>
    <x v="0"/>
    <x v="4"/>
    <x v="0"/>
    <n v="10831"/>
    <n v="1760.1"/>
    <n v="0.16250577047364048"/>
  </r>
  <r>
    <n v="2474"/>
    <s v="2023-12-23"/>
    <x v="1"/>
    <x v="1"/>
    <x v="2"/>
    <n v="15566"/>
    <n v="1495.44"/>
    <n v="9.6070923808300152E-2"/>
  </r>
  <r>
    <n v="2475"/>
    <s v="2023-04-30"/>
    <x v="1"/>
    <x v="5"/>
    <x v="0"/>
    <n v="26608"/>
    <n v="7246.44"/>
    <n v="0.2723406494287432"/>
  </r>
  <r>
    <n v="2476"/>
    <s v="2023-07-26"/>
    <x v="1"/>
    <x v="0"/>
    <x v="1"/>
    <n v="3623"/>
    <n v="1058.23"/>
    <n v="0.29208666850676235"/>
  </r>
  <r>
    <n v="2477"/>
    <s v="2023-02-10"/>
    <x v="0"/>
    <x v="4"/>
    <x v="1"/>
    <n v="9808"/>
    <n v="1937.48"/>
    <n v="0.19754078303425776"/>
  </r>
  <r>
    <n v="2478"/>
    <s v="2023-10-01"/>
    <x v="1"/>
    <x v="2"/>
    <x v="0"/>
    <n v="24246"/>
    <n v="4362.08"/>
    <n v="0.1799092633836509"/>
  </r>
  <r>
    <n v="2479"/>
    <s v="2024-02-27"/>
    <x v="1"/>
    <x v="1"/>
    <x v="0"/>
    <n v="20408"/>
    <n v="5372.96"/>
    <n v="0.26327714621716974"/>
  </r>
  <r>
    <n v="2480"/>
    <s v="2023-04-11"/>
    <x v="1"/>
    <x v="5"/>
    <x v="1"/>
    <n v="3239"/>
    <n v="658.54"/>
    <n v="0.20331583822167335"/>
  </r>
  <r>
    <n v="2481"/>
    <s v="2023-07-13"/>
    <x v="1"/>
    <x v="5"/>
    <x v="2"/>
    <n v="15573"/>
    <n v="2827.4"/>
    <n v="0.18155782443973545"/>
  </r>
  <r>
    <n v="2482"/>
    <s v="2023-02-14"/>
    <x v="3"/>
    <x v="2"/>
    <x v="1"/>
    <n v="18811"/>
    <n v="4928.75"/>
    <n v="0.26201424698314818"/>
  </r>
  <r>
    <n v="2483"/>
    <s v="2023-07-06"/>
    <x v="1"/>
    <x v="3"/>
    <x v="2"/>
    <n v="25165"/>
    <n v="2222.94"/>
    <n v="8.8334591694814224E-2"/>
  </r>
  <r>
    <n v="2484"/>
    <s v="2023-10-10"/>
    <x v="0"/>
    <x v="3"/>
    <x v="2"/>
    <n v="10715"/>
    <n v="2743.14"/>
    <n v="0.25600933271115256"/>
  </r>
  <r>
    <n v="2485"/>
    <s v="2023-07-28"/>
    <x v="0"/>
    <x v="3"/>
    <x v="0"/>
    <n v="24699"/>
    <n v="4093.08"/>
    <n v="0.16571845013968176"/>
  </r>
  <r>
    <n v="2486"/>
    <s v="2023-03-21"/>
    <x v="1"/>
    <x v="2"/>
    <x v="1"/>
    <n v="20651"/>
    <n v="2368.3200000000002"/>
    <n v="0.11468306619534163"/>
  </r>
  <r>
    <n v="2487"/>
    <s v="2024-02-12"/>
    <x v="2"/>
    <x v="4"/>
    <x v="2"/>
    <n v="9283"/>
    <n v="1144.1300000000001"/>
    <n v="0.12325002693094905"/>
  </r>
  <r>
    <n v="2488"/>
    <s v="2023-08-03"/>
    <x v="2"/>
    <x v="2"/>
    <x v="2"/>
    <n v="27420"/>
    <n v="5309.49"/>
    <n v="0.19363566739606125"/>
  </r>
  <r>
    <n v="2489"/>
    <s v="2023-12-06"/>
    <x v="3"/>
    <x v="5"/>
    <x v="0"/>
    <n v="17459"/>
    <n v="2941.24"/>
    <n v="0.1684655478549745"/>
  </r>
  <r>
    <n v="2490"/>
    <s v="2023-09-28"/>
    <x v="2"/>
    <x v="2"/>
    <x v="1"/>
    <n v="5568"/>
    <n v="523.91999999999996"/>
    <n v="9.4094827586206894E-2"/>
  </r>
  <r>
    <n v="2491"/>
    <s v="2023-11-04"/>
    <x v="2"/>
    <x v="0"/>
    <x v="0"/>
    <n v="8797"/>
    <n v="994.11"/>
    <n v="0.11300557008070933"/>
  </r>
  <r>
    <n v="2492"/>
    <s v="2024-03-14"/>
    <x v="2"/>
    <x v="1"/>
    <x v="2"/>
    <n v="10194"/>
    <n v="1521.97"/>
    <n v="0.14930056896213459"/>
  </r>
  <r>
    <n v="2493"/>
    <s v="2023-08-28"/>
    <x v="1"/>
    <x v="2"/>
    <x v="0"/>
    <n v="5935"/>
    <n v="1615.7"/>
    <n v="0.27223251895534961"/>
  </r>
  <r>
    <n v="2494"/>
    <s v="2024-02-19"/>
    <x v="0"/>
    <x v="0"/>
    <x v="1"/>
    <n v="24048"/>
    <n v="3365.03"/>
    <n v="0.13992972388556221"/>
  </r>
  <r>
    <n v="2495"/>
    <s v="2023-12-06"/>
    <x v="0"/>
    <x v="2"/>
    <x v="2"/>
    <n v="1610"/>
    <n v="295.54000000000002"/>
    <n v="0.18356521739130435"/>
  </r>
  <r>
    <n v="2496"/>
    <s v="2023-11-16"/>
    <x v="3"/>
    <x v="4"/>
    <x v="1"/>
    <n v="18257"/>
    <n v="2502.04"/>
    <n v="0.13704551678808127"/>
  </r>
  <r>
    <n v="2497"/>
    <s v="2024-02-12"/>
    <x v="2"/>
    <x v="2"/>
    <x v="2"/>
    <n v="16454"/>
    <n v="3520.13"/>
    <n v="0.2139376443418014"/>
  </r>
  <r>
    <n v="2498"/>
    <s v="2024-02-07"/>
    <x v="0"/>
    <x v="5"/>
    <x v="0"/>
    <n v="5940"/>
    <n v="1514.84"/>
    <n v="0.25502356902356899"/>
  </r>
  <r>
    <n v="2499"/>
    <s v="2023-11-25"/>
    <x v="3"/>
    <x v="0"/>
    <x v="1"/>
    <n v="20675"/>
    <n v="6133.76"/>
    <n v="0.29667521160822252"/>
  </r>
  <r>
    <n v="2500"/>
    <s v="2024-03-25"/>
    <x v="2"/>
    <x v="4"/>
    <x v="1"/>
    <n v="19899"/>
    <n v="4239.84"/>
    <n v="0.21306799336650084"/>
  </r>
  <r>
    <n v="2501"/>
    <s v="2023-08-18"/>
    <x v="1"/>
    <x v="2"/>
    <x v="0"/>
    <n v="12033"/>
    <n v="3445.83"/>
    <n v="0.28636499626028422"/>
  </r>
  <r>
    <n v="2502"/>
    <s v="2024-01-17"/>
    <x v="1"/>
    <x v="0"/>
    <x v="2"/>
    <n v="1715"/>
    <n v="305.45"/>
    <n v="0.17810495626822156"/>
  </r>
  <r>
    <n v="2503"/>
    <s v="2023-10-22"/>
    <x v="2"/>
    <x v="5"/>
    <x v="1"/>
    <n v="22122"/>
    <n v="2217.8000000000002"/>
    <n v="0.10025314166892686"/>
  </r>
  <r>
    <n v="2504"/>
    <s v="2023-07-27"/>
    <x v="1"/>
    <x v="3"/>
    <x v="1"/>
    <n v="3478"/>
    <n v="885.19"/>
    <n v="0.25451121334100058"/>
  </r>
  <r>
    <n v="2505"/>
    <s v="2023-12-03"/>
    <x v="1"/>
    <x v="3"/>
    <x v="1"/>
    <n v="2508"/>
    <n v="743.21"/>
    <n v="0.29633572567783095"/>
  </r>
  <r>
    <n v="2506"/>
    <s v="2024-03-24"/>
    <x v="1"/>
    <x v="3"/>
    <x v="1"/>
    <n v="22243"/>
    <n v="3202.87"/>
    <n v="0.14399451512835498"/>
  </r>
  <r>
    <n v="2507"/>
    <s v="2023-05-07"/>
    <x v="2"/>
    <x v="0"/>
    <x v="2"/>
    <n v="24410"/>
    <n v="3305.94"/>
    <n v="0.13543383859074151"/>
  </r>
  <r>
    <n v="2508"/>
    <s v="2023-07-14"/>
    <x v="2"/>
    <x v="3"/>
    <x v="2"/>
    <n v="6136"/>
    <n v="1170.73"/>
    <n v="0.19079693611473272"/>
  </r>
  <r>
    <n v="2509"/>
    <s v="2023-08-18"/>
    <x v="0"/>
    <x v="3"/>
    <x v="1"/>
    <n v="26222"/>
    <n v="2172.91"/>
    <n v="8.2865914117916245E-2"/>
  </r>
  <r>
    <n v="2510"/>
    <s v="2023-05-28"/>
    <x v="3"/>
    <x v="2"/>
    <x v="2"/>
    <n v="28623"/>
    <n v="5843.94"/>
    <n v="0.20416937427942564"/>
  </r>
  <r>
    <n v="2511"/>
    <s v="2024-01-16"/>
    <x v="3"/>
    <x v="3"/>
    <x v="0"/>
    <n v="25698"/>
    <n v="3174.36"/>
    <n v="0.12352556619192155"/>
  </r>
  <r>
    <n v="2512"/>
    <s v="2023-01-21"/>
    <x v="1"/>
    <x v="1"/>
    <x v="2"/>
    <n v="24519"/>
    <n v="6407.56"/>
    <n v="0.2613303968351075"/>
  </r>
  <r>
    <n v="2513"/>
    <s v="2023-01-09"/>
    <x v="3"/>
    <x v="0"/>
    <x v="2"/>
    <n v="28061"/>
    <n v="4426.3100000000004"/>
    <n v="0.15773885463810985"/>
  </r>
  <r>
    <n v="2514"/>
    <s v="2023-09-26"/>
    <x v="0"/>
    <x v="4"/>
    <x v="0"/>
    <n v="22413"/>
    <n v="5586.26"/>
    <n v="0.24924195779235267"/>
  </r>
  <r>
    <n v="2515"/>
    <s v="2023-11-17"/>
    <x v="0"/>
    <x v="1"/>
    <x v="0"/>
    <n v="18994"/>
    <n v="2544.2600000000002"/>
    <n v="0.13395072128040436"/>
  </r>
  <r>
    <n v="2516"/>
    <s v="2023-09-29"/>
    <x v="0"/>
    <x v="2"/>
    <x v="2"/>
    <n v="9885"/>
    <n v="1425.7"/>
    <n v="0.14422862923621649"/>
  </r>
  <r>
    <n v="2517"/>
    <s v="2023-04-21"/>
    <x v="2"/>
    <x v="2"/>
    <x v="1"/>
    <n v="3360"/>
    <n v="943.87"/>
    <n v="0.28091369047619047"/>
  </r>
  <r>
    <n v="2518"/>
    <s v="2023-10-23"/>
    <x v="1"/>
    <x v="4"/>
    <x v="1"/>
    <n v="23900"/>
    <n v="2799.29"/>
    <n v="0.11712510460251045"/>
  </r>
  <r>
    <n v="2519"/>
    <s v="2023-02-20"/>
    <x v="1"/>
    <x v="0"/>
    <x v="2"/>
    <n v="9113"/>
    <n v="1020.56"/>
    <n v="0.11198946559859541"/>
  </r>
  <r>
    <n v="2520"/>
    <s v="2023-09-27"/>
    <x v="1"/>
    <x v="0"/>
    <x v="0"/>
    <n v="21795"/>
    <n v="1984.75"/>
    <n v="9.106446432668043E-2"/>
  </r>
  <r>
    <n v="2521"/>
    <s v="2023-12-03"/>
    <x v="2"/>
    <x v="2"/>
    <x v="0"/>
    <n v="9845"/>
    <n v="2158.34"/>
    <n v="0.21923209751142714"/>
  </r>
  <r>
    <n v="2522"/>
    <s v="2023-08-27"/>
    <x v="1"/>
    <x v="1"/>
    <x v="2"/>
    <n v="7549"/>
    <n v="1194.73"/>
    <n v="0.15826334613856141"/>
  </r>
  <r>
    <n v="2523"/>
    <s v="2023-01-18"/>
    <x v="2"/>
    <x v="4"/>
    <x v="0"/>
    <n v="10913"/>
    <n v="1235.8499999999999"/>
    <n v="0.1132456703014753"/>
  </r>
  <r>
    <n v="2524"/>
    <s v="2023-08-02"/>
    <x v="3"/>
    <x v="1"/>
    <x v="2"/>
    <n v="1616"/>
    <n v="282.75"/>
    <n v="0.1749690594059406"/>
  </r>
  <r>
    <n v="2525"/>
    <s v="2024-01-21"/>
    <x v="2"/>
    <x v="1"/>
    <x v="1"/>
    <n v="17811"/>
    <n v="3076.7"/>
    <n v="0.17274156420189771"/>
  </r>
  <r>
    <n v="2526"/>
    <s v="2023-08-24"/>
    <x v="0"/>
    <x v="2"/>
    <x v="0"/>
    <n v="23085"/>
    <n v="2015.65"/>
    <n v="8.7314273337665158E-2"/>
  </r>
  <r>
    <n v="2527"/>
    <s v="2023-11-26"/>
    <x v="2"/>
    <x v="2"/>
    <x v="1"/>
    <n v="13012"/>
    <n v="1046.2"/>
    <n v="8.0402705195204427E-2"/>
  </r>
  <r>
    <n v="2528"/>
    <s v="2023-03-23"/>
    <x v="3"/>
    <x v="5"/>
    <x v="2"/>
    <n v="21969"/>
    <n v="3025.03"/>
    <n v="0.13769538895716693"/>
  </r>
  <r>
    <n v="2529"/>
    <s v="2023-10-18"/>
    <x v="3"/>
    <x v="4"/>
    <x v="1"/>
    <n v="4934"/>
    <n v="451.3"/>
    <n v="9.146736927442238E-2"/>
  </r>
  <r>
    <n v="2530"/>
    <s v="2023-08-07"/>
    <x v="1"/>
    <x v="2"/>
    <x v="2"/>
    <n v="3955"/>
    <n v="1065.6199999999999"/>
    <n v="0.26943615676359034"/>
  </r>
  <r>
    <n v="2531"/>
    <s v="2023-12-18"/>
    <x v="0"/>
    <x v="5"/>
    <x v="2"/>
    <n v="27461"/>
    <n v="2921.55"/>
    <n v="0.10638906084993263"/>
  </r>
  <r>
    <n v="2532"/>
    <s v="2023-10-03"/>
    <x v="1"/>
    <x v="2"/>
    <x v="1"/>
    <n v="21126"/>
    <n v="3436.21"/>
    <n v="0.1626531288459718"/>
  </r>
  <r>
    <n v="2533"/>
    <s v="2023-05-31"/>
    <x v="1"/>
    <x v="4"/>
    <x v="0"/>
    <n v="20851"/>
    <n v="3313.57"/>
    <n v="0.15891659872428182"/>
  </r>
  <r>
    <n v="2534"/>
    <s v="2024-01-31"/>
    <x v="0"/>
    <x v="5"/>
    <x v="2"/>
    <n v="24662"/>
    <n v="2388.9899999999998"/>
    <n v="9.6869272565079878E-2"/>
  </r>
  <r>
    <n v="2535"/>
    <s v="2023-02-08"/>
    <x v="3"/>
    <x v="0"/>
    <x v="2"/>
    <n v="14431"/>
    <n v="4216.3599999999997"/>
    <n v="0.29217379252997017"/>
  </r>
  <r>
    <n v="2536"/>
    <s v="2023-12-15"/>
    <x v="1"/>
    <x v="0"/>
    <x v="2"/>
    <n v="27014"/>
    <n v="5610.52"/>
    <n v="0.20768934626489971"/>
  </r>
  <r>
    <n v="2537"/>
    <s v="2023-12-04"/>
    <x v="1"/>
    <x v="1"/>
    <x v="1"/>
    <n v="17441"/>
    <n v="4767.83"/>
    <n v="0.27336907287426182"/>
  </r>
  <r>
    <n v="2538"/>
    <s v="2023-01-24"/>
    <x v="1"/>
    <x v="2"/>
    <x v="2"/>
    <n v="24205"/>
    <n v="2565.6999999999998"/>
    <n v="0.10599876058665564"/>
  </r>
  <r>
    <n v="2539"/>
    <s v="2023-02-27"/>
    <x v="1"/>
    <x v="1"/>
    <x v="1"/>
    <n v="3116"/>
    <n v="662.72"/>
    <n v="0.21268292682926832"/>
  </r>
  <r>
    <n v="2540"/>
    <s v="2023-05-29"/>
    <x v="1"/>
    <x v="3"/>
    <x v="1"/>
    <n v="8252"/>
    <n v="1714.96"/>
    <n v="0.20782355792535143"/>
  </r>
  <r>
    <n v="2541"/>
    <s v="2024-02-12"/>
    <x v="2"/>
    <x v="2"/>
    <x v="2"/>
    <n v="5877"/>
    <n v="1736.24"/>
    <n v="0.29542964097328567"/>
  </r>
  <r>
    <n v="2542"/>
    <s v="2023-10-23"/>
    <x v="0"/>
    <x v="4"/>
    <x v="0"/>
    <n v="10200"/>
    <n v="2233.09"/>
    <n v="0.21893039215686275"/>
  </r>
  <r>
    <n v="2543"/>
    <s v="2023-09-14"/>
    <x v="3"/>
    <x v="5"/>
    <x v="2"/>
    <n v="6451"/>
    <n v="632.52"/>
    <n v="9.8049914741900474E-2"/>
  </r>
  <r>
    <n v="2544"/>
    <s v="2023-01-02"/>
    <x v="1"/>
    <x v="4"/>
    <x v="1"/>
    <n v="25836"/>
    <n v="5384.88"/>
    <n v="0.20842545285647934"/>
  </r>
  <r>
    <n v="2545"/>
    <s v="2024-01-19"/>
    <x v="0"/>
    <x v="1"/>
    <x v="0"/>
    <n v="28675"/>
    <n v="7097.11"/>
    <n v="0.24750165649520486"/>
  </r>
  <r>
    <n v="2546"/>
    <s v="2023-08-25"/>
    <x v="0"/>
    <x v="0"/>
    <x v="1"/>
    <n v="10818"/>
    <n v="1160.47"/>
    <n v="0.10727213902754669"/>
  </r>
  <r>
    <n v="2547"/>
    <s v="2023-04-22"/>
    <x v="1"/>
    <x v="2"/>
    <x v="0"/>
    <n v="18553"/>
    <n v="5533.11"/>
    <n v="0.29823263084137336"/>
  </r>
  <r>
    <n v="2548"/>
    <s v="2024-02-11"/>
    <x v="2"/>
    <x v="2"/>
    <x v="0"/>
    <n v="11724"/>
    <n v="3087.26"/>
    <n v="0.26332821562606623"/>
  </r>
  <r>
    <n v="2549"/>
    <s v="2024-03-17"/>
    <x v="0"/>
    <x v="2"/>
    <x v="1"/>
    <n v="26185"/>
    <n v="4991.17"/>
    <n v="0.19061180064922667"/>
  </r>
  <r>
    <n v="2550"/>
    <s v="2023-12-20"/>
    <x v="0"/>
    <x v="0"/>
    <x v="1"/>
    <n v="25482"/>
    <n v="3816.64"/>
    <n v="0.14977788242681109"/>
  </r>
  <r>
    <n v="2551"/>
    <s v="2024-01-14"/>
    <x v="2"/>
    <x v="2"/>
    <x v="0"/>
    <n v="29931"/>
    <n v="2784.35"/>
    <n v="9.302562560555945E-2"/>
  </r>
  <r>
    <n v="2552"/>
    <s v="2023-11-17"/>
    <x v="2"/>
    <x v="4"/>
    <x v="0"/>
    <n v="28623"/>
    <n v="5112.83"/>
    <n v="0.17862662893477274"/>
  </r>
  <r>
    <n v="2553"/>
    <s v="2023-12-11"/>
    <x v="0"/>
    <x v="2"/>
    <x v="1"/>
    <n v="3362"/>
    <n v="633.58000000000004"/>
    <n v="0.18845330160618681"/>
  </r>
  <r>
    <n v="2554"/>
    <s v="2023-03-09"/>
    <x v="1"/>
    <x v="4"/>
    <x v="2"/>
    <n v="11054"/>
    <n v="2804.48"/>
    <n v="0.25370725529220189"/>
  </r>
  <r>
    <n v="2555"/>
    <s v="2023-08-26"/>
    <x v="2"/>
    <x v="3"/>
    <x v="2"/>
    <n v="23493"/>
    <n v="5004.7700000000004"/>
    <n v="0.21303239262759122"/>
  </r>
  <r>
    <n v="2556"/>
    <s v="2023-05-06"/>
    <x v="2"/>
    <x v="1"/>
    <x v="1"/>
    <n v="16097"/>
    <n v="4410.43"/>
    <n v="0.27399080574020007"/>
  </r>
  <r>
    <n v="2557"/>
    <s v="2023-02-17"/>
    <x v="1"/>
    <x v="3"/>
    <x v="2"/>
    <n v="26823"/>
    <n v="3961.46"/>
    <n v="0.14768892368489728"/>
  </r>
  <r>
    <n v="2558"/>
    <s v="2023-03-04"/>
    <x v="1"/>
    <x v="4"/>
    <x v="0"/>
    <n v="26447"/>
    <n v="3925.48"/>
    <n v="0.14842817710893486"/>
  </r>
  <r>
    <n v="2559"/>
    <s v="2023-07-06"/>
    <x v="2"/>
    <x v="2"/>
    <x v="0"/>
    <n v="5807"/>
    <n v="1728.85"/>
    <n v="0.29771827105217841"/>
  </r>
  <r>
    <n v="2560"/>
    <s v="2023-12-18"/>
    <x v="0"/>
    <x v="5"/>
    <x v="2"/>
    <n v="29132"/>
    <n v="3207.58"/>
    <n v="0.11010503913222573"/>
  </r>
  <r>
    <n v="2561"/>
    <s v="2023-10-12"/>
    <x v="1"/>
    <x v="3"/>
    <x v="0"/>
    <n v="23577"/>
    <n v="4043.18"/>
    <n v="0.17148831488314883"/>
  </r>
  <r>
    <n v="2562"/>
    <s v="2024-03-18"/>
    <x v="1"/>
    <x v="5"/>
    <x v="2"/>
    <n v="17078"/>
    <n v="4708.1499999999996"/>
    <n v="0.27568509193113944"/>
  </r>
  <r>
    <n v="2563"/>
    <s v="2023-11-03"/>
    <x v="0"/>
    <x v="1"/>
    <x v="1"/>
    <n v="24129"/>
    <n v="4691.26"/>
    <n v="0.19442413693066435"/>
  </r>
  <r>
    <n v="2564"/>
    <s v="2023-10-28"/>
    <x v="0"/>
    <x v="2"/>
    <x v="0"/>
    <n v="16571"/>
    <n v="3581.6"/>
    <n v="0.21613662422304025"/>
  </r>
  <r>
    <n v="2565"/>
    <s v="2023-08-08"/>
    <x v="1"/>
    <x v="4"/>
    <x v="0"/>
    <n v="12477"/>
    <n v="2016.39"/>
    <n v="0.1616085597499399"/>
  </r>
  <r>
    <n v="2566"/>
    <s v="2023-10-02"/>
    <x v="1"/>
    <x v="2"/>
    <x v="1"/>
    <n v="11657"/>
    <n v="1555.21"/>
    <n v="0.13341425752766578"/>
  </r>
  <r>
    <n v="2567"/>
    <s v="2024-01-27"/>
    <x v="1"/>
    <x v="0"/>
    <x v="2"/>
    <n v="26761"/>
    <n v="4759.0600000000004"/>
    <n v="0.17783565636560669"/>
  </r>
  <r>
    <n v="2568"/>
    <s v="2023-01-07"/>
    <x v="1"/>
    <x v="1"/>
    <x v="1"/>
    <n v="29915"/>
    <n v="3672.34"/>
    <n v="0.12275915092762829"/>
  </r>
  <r>
    <n v="2569"/>
    <s v="2023-10-16"/>
    <x v="2"/>
    <x v="2"/>
    <x v="0"/>
    <n v="8737"/>
    <n v="791.14"/>
    <n v="9.0550532219297236E-2"/>
  </r>
  <r>
    <n v="2570"/>
    <s v="2023-03-06"/>
    <x v="1"/>
    <x v="0"/>
    <x v="1"/>
    <n v="24210"/>
    <n v="6710.32"/>
    <n v="0.27717141676992979"/>
  </r>
  <r>
    <n v="2571"/>
    <s v="2023-08-28"/>
    <x v="1"/>
    <x v="4"/>
    <x v="1"/>
    <n v="17857"/>
    <n v="4058.58"/>
    <n v="0.22728229825838606"/>
  </r>
  <r>
    <n v="2572"/>
    <s v="2023-07-31"/>
    <x v="1"/>
    <x v="2"/>
    <x v="0"/>
    <n v="26209"/>
    <n v="7848.35"/>
    <n v="0.2994524781563585"/>
  </r>
  <r>
    <n v="2573"/>
    <s v="2023-03-08"/>
    <x v="1"/>
    <x v="3"/>
    <x v="1"/>
    <n v="19123"/>
    <n v="3124.4"/>
    <n v="0.16338440621241437"/>
  </r>
  <r>
    <n v="2574"/>
    <s v="2024-02-25"/>
    <x v="1"/>
    <x v="5"/>
    <x v="0"/>
    <n v="21131"/>
    <n v="5981.61"/>
    <n v="0.28307273673749467"/>
  </r>
  <r>
    <n v="2575"/>
    <s v="2023-01-02"/>
    <x v="1"/>
    <x v="0"/>
    <x v="1"/>
    <n v="25365"/>
    <n v="3072.22"/>
    <n v="0.1211204415533215"/>
  </r>
  <r>
    <n v="2576"/>
    <s v="2023-11-14"/>
    <x v="1"/>
    <x v="1"/>
    <x v="0"/>
    <n v="10372"/>
    <n v="2811.93"/>
    <n v="0.27110779020439646"/>
  </r>
  <r>
    <n v="2577"/>
    <s v="2023-09-25"/>
    <x v="1"/>
    <x v="5"/>
    <x v="0"/>
    <n v="10336"/>
    <n v="2386.0100000000002"/>
    <n v="0.23084462074303408"/>
  </r>
  <r>
    <n v="2578"/>
    <s v="2024-02-01"/>
    <x v="3"/>
    <x v="2"/>
    <x v="2"/>
    <n v="29251"/>
    <n v="7990.59"/>
    <n v="0.27317322484701378"/>
  </r>
  <r>
    <n v="2579"/>
    <s v="2023-03-04"/>
    <x v="2"/>
    <x v="0"/>
    <x v="2"/>
    <n v="2795"/>
    <n v="276.88"/>
    <n v="9.9062611806797846E-2"/>
  </r>
  <r>
    <n v="2580"/>
    <s v="2024-03-15"/>
    <x v="0"/>
    <x v="5"/>
    <x v="1"/>
    <n v="5882"/>
    <n v="488.9"/>
    <n v="8.3117987079224756E-2"/>
  </r>
  <r>
    <n v="2581"/>
    <s v="2023-10-15"/>
    <x v="2"/>
    <x v="5"/>
    <x v="0"/>
    <n v="17768"/>
    <n v="3471.66"/>
    <n v="0.19538833858622243"/>
  </r>
  <r>
    <n v="2582"/>
    <s v="2024-03-26"/>
    <x v="2"/>
    <x v="3"/>
    <x v="1"/>
    <n v="16228"/>
    <n v="2724.53"/>
    <n v="0.16789068277052011"/>
  </r>
  <r>
    <n v="2583"/>
    <s v="2023-09-09"/>
    <x v="1"/>
    <x v="3"/>
    <x v="2"/>
    <n v="9295"/>
    <n v="1600.49"/>
    <n v="0.17218827326519634"/>
  </r>
  <r>
    <n v="2584"/>
    <s v="2023-04-09"/>
    <x v="1"/>
    <x v="4"/>
    <x v="2"/>
    <n v="19138"/>
    <n v="2874.37"/>
    <n v="0.15019176507472046"/>
  </r>
  <r>
    <n v="2585"/>
    <s v="2023-02-15"/>
    <x v="2"/>
    <x v="2"/>
    <x v="2"/>
    <n v="29459"/>
    <n v="7139.36"/>
    <n v="0.24234902746189618"/>
  </r>
  <r>
    <n v="2586"/>
    <s v="2024-02-15"/>
    <x v="1"/>
    <x v="4"/>
    <x v="0"/>
    <n v="8993"/>
    <n v="2539.91"/>
    <n v="0.28243189147114423"/>
  </r>
  <r>
    <n v="2587"/>
    <s v="2023-07-05"/>
    <x v="0"/>
    <x v="0"/>
    <x v="0"/>
    <n v="23885"/>
    <n v="6805.43"/>
    <n v="0.28492484823110742"/>
  </r>
  <r>
    <n v="2588"/>
    <s v="2024-02-18"/>
    <x v="1"/>
    <x v="2"/>
    <x v="0"/>
    <n v="14688"/>
    <n v="3089.9"/>
    <n v="0.21036900871459696"/>
  </r>
  <r>
    <n v="2589"/>
    <s v="2024-03-05"/>
    <x v="0"/>
    <x v="1"/>
    <x v="2"/>
    <n v="17216"/>
    <n v="3616.89"/>
    <n v="0.21008887081784386"/>
  </r>
  <r>
    <n v="2590"/>
    <s v="2023-11-13"/>
    <x v="1"/>
    <x v="0"/>
    <x v="0"/>
    <n v="14749"/>
    <n v="2066.83"/>
    <n v="0.14013356837751711"/>
  </r>
  <r>
    <n v="2591"/>
    <s v="2023-02-09"/>
    <x v="1"/>
    <x v="1"/>
    <x v="2"/>
    <n v="18152"/>
    <n v="5178.8500000000004"/>
    <n v="0.28530464962538565"/>
  </r>
  <r>
    <n v="2592"/>
    <s v="2023-09-05"/>
    <x v="0"/>
    <x v="4"/>
    <x v="0"/>
    <n v="24627"/>
    <n v="5686.6"/>
    <n v="0.23090916473788933"/>
  </r>
  <r>
    <n v="2593"/>
    <s v="2024-01-05"/>
    <x v="2"/>
    <x v="3"/>
    <x v="2"/>
    <n v="10546"/>
    <n v="2906.99"/>
    <n v="0.27564858714204438"/>
  </r>
  <r>
    <n v="2594"/>
    <s v="2023-01-28"/>
    <x v="0"/>
    <x v="2"/>
    <x v="0"/>
    <n v="28641"/>
    <n v="7563.46"/>
    <n v="0.26407806989979399"/>
  </r>
  <r>
    <n v="2595"/>
    <s v="2024-02-28"/>
    <x v="3"/>
    <x v="2"/>
    <x v="1"/>
    <n v="18350"/>
    <n v="4553.05"/>
    <n v="0.24812261580381473"/>
  </r>
  <r>
    <n v="2596"/>
    <s v="2023-05-31"/>
    <x v="1"/>
    <x v="5"/>
    <x v="2"/>
    <n v="11198"/>
    <n v="3071.66"/>
    <n v="0.27430434006072513"/>
  </r>
  <r>
    <n v="2597"/>
    <s v="2024-03-03"/>
    <x v="3"/>
    <x v="2"/>
    <x v="0"/>
    <n v="17524"/>
    <n v="2691.23"/>
    <n v="0.15357395571787263"/>
  </r>
  <r>
    <n v="2598"/>
    <s v="2023-07-16"/>
    <x v="3"/>
    <x v="5"/>
    <x v="2"/>
    <n v="15423"/>
    <n v="1299.74"/>
    <n v="8.4272839266031255E-2"/>
  </r>
  <r>
    <n v="2599"/>
    <s v="2023-10-25"/>
    <x v="3"/>
    <x v="1"/>
    <x v="2"/>
    <n v="21447"/>
    <n v="3383.57"/>
    <n v="0.15776425607311045"/>
  </r>
  <r>
    <n v="2600"/>
    <s v="2023-12-13"/>
    <x v="2"/>
    <x v="2"/>
    <x v="0"/>
    <n v="7618"/>
    <n v="1300.5999999999999"/>
    <n v="0.17072722499343659"/>
  </r>
  <r>
    <n v="2601"/>
    <s v="2023-09-13"/>
    <x v="0"/>
    <x v="0"/>
    <x v="2"/>
    <n v="27130"/>
    <n v="7508.69"/>
    <n v="0.27676704754883891"/>
  </r>
  <r>
    <n v="2602"/>
    <s v="2023-11-13"/>
    <x v="0"/>
    <x v="3"/>
    <x v="0"/>
    <n v="11496"/>
    <n v="2049.31"/>
    <n v="0.17826287404314545"/>
  </r>
  <r>
    <n v="2603"/>
    <s v="2023-06-23"/>
    <x v="0"/>
    <x v="1"/>
    <x v="0"/>
    <n v="25464"/>
    <n v="7513.29"/>
    <n v="0.29505537229029216"/>
  </r>
  <r>
    <n v="2604"/>
    <s v="2023-07-20"/>
    <x v="0"/>
    <x v="0"/>
    <x v="1"/>
    <n v="15340"/>
    <n v="1374.88"/>
    <n v="8.9627118644067805E-2"/>
  </r>
  <r>
    <n v="2605"/>
    <s v="2024-01-28"/>
    <x v="1"/>
    <x v="3"/>
    <x v="2"/>
    <n v="16524"/>
    <n v="2794.6"/>
    <n v="0.16912369886226095"/>
  </r>
  <r>
    <n v="2606"/>
    <s v="2024-01-29"/>
    <x v="2"/>
    <x v="1"/>
    <x v="2"/>
    <n v="5536"/>
    <n v="1262.68"/>
    <n v="0.22808526011560695"/>
  </r>
  <r>
    <n v="2607"/>
    <s v="2024-01-29"/>
    <x v="0"/>
    <x v="0"/>
    <x v="0"/>
    <n v="29856"/>
    <n v="5528.39"/>
    <n v="0.18516847534833869"/>
  </r>
  <r>
    <n v="2608"/>
    <s v="2023-04-28"/>
    <x v="0"/>
    <x v="5"/>
    <x v="1"/>
    <n v="16261"/>
    <n v="2306.9499999999998"/>
    <n v="0.14187011868888752"/>
  </r>
  <r>
    <n v="2609"/>
    <s v="2023-04-21"/>
    <x v="3"/>
    <x v="4"/>
    <x v="0"/>
    <n v="8383"/>
    <n v="2319.9"/>
    <n v="0.2767386377191936"/>
  </r>
  <r>
    <n v="2610"/>
    <s v="2023-04-19"/>
    <x v="3"/>
    <x v="4"/>
    <x v="1"/>
    <n v="28834"/>
    <n v="3421.31"/>
    <n v="0.1186554068114032"/>
  </r>
  <r>
    <n v="2611"/>
    <s v="2023-02-07"/>
    <x v="1"/>
    <x v="5"/>
    <x v="0"/>
    <n v="21906"/>
    <n v="5670.69"/>
    <n v="0.25886469460421802"/>
  </r>
  <r>
    <n v="2612"/>
    <s v="2023-10-15"/>
    <x v="2"/>
    <x v="5"/>
    <x v="0"/>
    <n v="3332"/>
    <n v="960.75"/>
    <n v="0.28834033613445376"/>
  </r>
  <r>
    <n v="2613"/>
    <s v="2023-07-25"/>
    <x v="2"/>
    <x v="4"/>
    <x v="2"/>
    <n v="15815"/>
    <n v="1421.09"/>
    <n v="8.9857097692064486E-2"/>
  </r>
  <r>
    <n v="2614"/>
    <s v="2023-08-21"/>
    <x v="3"/>
    <x v="0"/>
    <x v="2"/>
    <n v="21711"/>
    <n v="2445.4499999999998"/>
    <n v="0.11263645156832941"/>
  </r>
  <r>
    <n v="2615"/>
    <s v="2023-09-20"/>
    <x v="3"/>
    <x v="1"/>
    <x v="0"/>
    <n v="24739"/>
    <n v="3716.53"/>
    <n v="0.15022959699260277"/>
  </r>
  <r>
    <n v="2616"/>
    <s v="2023-05-04"/>
    <x v="3"/>
    <x v="1"/>
    <x v="2"/>
    <n v="3146"/>
    <n v="604.28"/>
    <n v="0.19207883026064843"/>
  </r>
  <r>
    <n v="2617"/>
    <s v="2023-06-07"/>
    <x v="0"/>
    <x v="1"/>
    <x v="2"/>
    <n v="1984"/>
    <n v="566.46"/>
    <n v="0.28551411290322581"/>
  </r>
  <r>
    <n v="2618"/>
    <s v="2023-11-17"/>
    <x v="1"/>
    <x v="3"/>
    <x v="0"/>
    <n v="22370"/>
    <n v="4314"/>
    <n v="0.19284756370138578"/>
  </r>
  <r>
    <n v="2619"/>
    <s v="2023-05-10"/>
    <x v="3"/>
    <x v="3"/>
    <x v="2"/>
    <n v="4519"/>
    <n v="1256.33"/>
    <n v="0.2780106218189865"/>
  </r>
  <r>
    <n v="2620"/>
    <s v="2023-12-30"/>
    <x v="2"/>
    <x v="0"/>
    <x v="1"/>
    <n v="7130"/>
    <n v="1688.32"/>
    <n v="0.23679102384291725"/>
  </r>
  <r>
    <n v="2621"/>
    <s v="2023-10-04"/>
    <x v="1"/>
    <x v="0"/>
    <x v="0"/>
    <n v="11195"/>
    <n v="3318.39"/>
    <n v="0.29641715051362216"/>
  </r>
  <r>
    <n v="2622"/>
    <s v="2023-11-30"/>
    <x v="3"/>
    <x v="2"/>
    <x v="0"/>
    <n v="26072"/>
    <n v="5036.1000000000004"/>
    <n v="0.1931612457809144"/>
  </r>
  <r>
    <n v="2623"/>
    <s v="2023-10-20"/>
    <x v="3"/>
    <x v="5"/>
    <x v="0"/>
    <n v="18313"/>
    <n v="3968.18"/>
    <n v="0.21668650685305521"/>
  </r>
  <r>
    <n v="2624"/>
    <s v="2024-03-23"/>
    <x v="1"/>
    <x v="3"/>
    <x v="0"/>
    <n v="19693"/>
    <n v="1641.22"/>
    <n v="8.3340273193520539E-2"/>
  </r>
  <r>
    <n v="2625"/>
    <s v="2023-02-19"/>
    <x v="0"/>
    <x v="1"/>
    <x v="0"/>
    <n v="13151"/>
    <n v="1503.47"/>
    <n v="0.11432362557980381"/>
  </r>
  <r>
    <n v="2626"/>
    <s v="2023-05-11"/>
    <x v="1"/>
    <x v="1"/>
    <x v="2"/>
    <n v="29079"/>
    <n v="4581.91"/>
    <n v="0.1575676605110217"/>
  </r>
  <r>
    <n v="2627"/>
    <s v="2023-06-21"/>
    <x v="1"/>
    <x v="1"/>
    <x v="1"/>
    <n v="17419"/>
    <n v="2187.83"/>
    <n v="0.12560020667087662"/>
  </r>
  <r>
    <n v="2628"/>
    <s v="2023-08-04"/>
    <x v="2"/>
    <x v="4"/>
    <x v="1"/>
    <n v="11155"/>
    <n v="1618.75"/>
    <n v="0.14511429852084268"/>
  </r>
  <r>
    <n v="2629"/>
    <s v="2023-07-30"/>
    <x v="3"/>
    <x v="0"/>
    <x v="0"/>
    <n v="27490"/>
    <n v="4892.0600000000004"/>
    <n v="0.17795780283739543"/>
  </r>
  <r>
    <n v="2630"/>
    <s v="2023-02-10"/>
    <x v="1"/>
    <x v="3"/>
    <x v="0"/>
    <n v="15828"/>
    <n v="1330.96"/>
    <n v="8.4088956280010105E-2"/>
  </r>
  <r>
    <n v="2631"/>
    <s v="2023-05-20"/>
    <x v="0"/>
    <x v="1"/>
    <x v="0"/>
    <n v="8767"/>
    <n v="1476.07"/>
    <n v="0.16836660203034104"/>
  </r>
  <r>
    <n v="2632"/>
    <s v="2023-09-23"/>
    <x v="3"/>
    <x v="3"/>
    <x v="2"/>
    <n v="7704"/>
    <n v="2112.52"/>
    <n v="0.27421079958463135"/>
  </r>
  <r>
    <n v="2633"/>
    <s v="2023-01-01"/>
    <x v="2"/>
    <x v="2"/>
    <x v="0"/>
    <n v="12742"/>
    <n v="3109.95"/>
    <n v="0.24407078951498978"/>
  </r>
  <r>
    <n v="2634"/>
    <s v="2023-08-18"/>
    <x v="0"/>
    <x v="3"/>
    <x v="2"/>
    <n v="22290"/>
    <n v="6505.95"/>
    <n v="0.29187752355316282"/>
  </r>
  <r>
    <n v="2635"/>
    <s v="2024-03-22"/>
    <x v="0"/>
    <x v="1"/>
    <x v="0"/>
    <n v="12380"/>
    <n v="1649.31"/>
    <n v="0.1332237479806139"/>
  </r>
  <r>
    <n v="2636"/>
    <s v="2023-10-25"/>
    <x v="0"/>
    <x v="4"/>
    <x v="0"/>
    <n v="12163"/>
    <n v="1941.62"/>
    <n v="0.15963331414946969"/>
  </r>
  <r>
    <n v="2637"/>
    <s v="2023-06-11"/>
    <x v="1"/>
    <x v="3"/>
    <x v="2"/>
    <n v="16049"/>
    <n v="1310.87"/>
    <n v="8.1679232350925279E-2"/>
  </r>
  <r>
    <n v="2638"/>
    <s v="2023-05-19"/>
    <x v="0"/>
    <x v="4"/>
    <x v="1"/>
    <n v="22411"/>
    <n v="2152.13"/>
    <n v="9.6030074516978273E-2"/>
  </r>
  <r>
    <n v="2639"/>
    <s v="2023-04-22"/>
    <x v="2"/>
    <x v="5"/>
    <x v="1"/>
    <n v="11740"/>
    <n v="3067.69"/>
    <n v="0.26130238500851788"/>
  </r>
  <r>
    <n v="2640"/>
    <s v="2023-12-05"/>
    <x v="1"/>
    <x v="1"/>
    <x v="1"/>
    <n v="19138"/>
    <n v="2126.06"/>
    <n v="0.11109102309541227"/>
  </r>
  <r>
    <n v="2641"/>
    <s v="2023-04-03"/>
    <x v="3"/>
    <x v="3"/>
    <x v="1"/>
    <n v="9437"/>
    <n v="2500.59"/>
    <n v="0.26497721733601781"/>
  </r>
  <r>
    <n v="2642"/>
    <s v="2024-02-07"/>
    <x v="3"/>
    <x v="0"/>
    <x v="2"/>
    <n v="10464"/>
    <n v="2874.52"/>
    <n v="0.27470565749235476"/>
  </r>
  <r>
    <n v="2643"/>
    <s v="2023-05-16"/>
    <x v="2"/>
    <x v="0"/>
    <x v="2"/>
    <n v="15689"/>
    <n v="3489.9"/>
    <n v="0.22244247561986105"/>
  </r>
  <r>
    <n v="2644"/>
    <s v="2023-04-29"/>
    <x v="1"/>
    <x v="5"/>
    <x v="1"/>
    <n v="8005"/>
    <n v="1024.33"/>
    <n v="0.12796127420362272"/>
  </r>
  <r>
    <n v="2645"/>
    <s v="2023-02-11"/>
    <x v="2"/>
    <x v="2"/>
    <x v="1"/>
    <n v="9641"/>
    <n v="2325"/>
    <n v="0.24115755627009647"/>
  </r>
  <r>
    <n v="2646"/>
    <s v="2023-08-20"/>
    <x v="3"/>
    <x v="4"/>
    <x v="1"/>
    <n v="15144"/>
    <n v="2901.97"/>
    <n v="0.19162506603275223"/>
  </r>
  <r>
    <n v="2647"/>
    <s v="2023-02-20"/>
    <x v="1"/>
    <x v="1"/>
    <x v="0"/>
    <n v="23782"/>
    <n v="1953.96"/>
    <n v="8.2161298461020937E-2"/>
  </r>
  <r>
    <n v="2648"/>
    <s v="2023-08-26"/>
    <x v="0"/>
    <x v="3"/>
    <x v="2"/>
    <n v="1529"/>
    <n v="176.03"/>
    <n v="0.11512753433616743"/>
  </r>
  <r>
    <n v="2649"/>
    <s v="2023-05-30"/>
    <x v="2"/>
    <x v="2"/>
    <x v="0"/>
    <n v="7024"/>
    <n v="1831.48"/>
    <n v="0.26074601366742595"/>
  </r>
  <r>
    <n v="2650"/>
    <s v="2023-05-07"/>
    <x v="0"/>
    <x v="2"/>
    <x v="1"/>
    <n v="6124"/>
    <n v="1376.15"/>
    <n v="0.2247142390594383"/>
  </r>
  <r>
    <n v="2651"/>
    <s v="2023-05-10"/>
    <x v="0"/>
    <x v="2"/>
    <x v="2"/>
    <n v="27450"/>
    <n v="2986.96"/>
    <n v="0.10881457194899818"/>
  </r>
  <r>
    <n v="2652"/>
    <s v="2023-03-27"/>
    <x v="1"/>
    <x v="2"/>
    <x v="2"/>
    <n v="7259"/>
    <n v="1306.0899999999999"/>
    <n v="0.17992698718831793"/>
  </r>
  <r>
    <n v="2653"/>
    <s v="2023-01-05"/>
    <x v="2"/>
    <x v="1"/>
    <x v="2"/>
    <n v="18239"/>
    <n v="1657.88"/>
    <n v="9.089752727671474E-2"/>
  </r>
  <r>
    <n v="2654"/>
    <s v="2024-02-17"/>
    <x v="2"/>
    <x v="5"/>
    <x v="2"/>
    <n v="12523"/>
    <n v="2585.29"/>
    <n v="0.20644334424658628"/>
  </r>
  <r>
    <n v="2655"/>
    <s v="2023-11-19"/>
    <x v="0"/>
    <x v="0"/>
    <x v="1"/>
    <n v="9660"/>
    <n v="2797.98"/>
    <n v="0.28964596273291926"/>
  </r>
  <r>
    <n v="2656"/>
    <s v="2023-06-10"/>
    <x v="0"/>
    <x v="0"/>
    <x v="2"/>
    <n v="25404"/>
    <n v="2363.4899999999998"/>
    <n v="9.3036136041568254E-2"/>
  </r>
  <r>
    <n v="2657"/>
    <s v="2023-01-20"/>
    <x v="2"/>
    <x v="4"/>
    <x v="2"/>
    <n v="18343"/>
    <n v="4006.05"/>
    <n v="0.21839666357738649"/>
  </r>
  <r>
    <n v="2658"/>
    <s v="2023-01-06"/>
    <x v="1"/>
    <x v="1"/>
    <x v="1"/>
    <n v="13846"/>
    <n v="3142.68"/>
    <n v="0.22697385526505848"/>
  </r>
  <r>
    <n v="2659"/>
    <s v="2023-10-02"/>
    <x v="1"/>
    <x v="2"/>
    <x v="0"/>
    <n v="12336"/>
    <n v="2555.12"/>
    <n v="0.20712710765239947"/>
  </r>
  <r>
    <n v="2660"/>
    <s v="2023-11-12"/>
    <x v="1"/>
    <x v="0"/>
    <x v="0"/>
    <n v="16397"/>
    <n v="3097.39"/>
    <n v="0.1888997987436726"/>
  </r>
  <r>
    <n v="2661"/>
    <s v="2023-06-20"/>
    <x v="2"/>
    <x v="2"/>
    <x v="1"/>
    <n v="22269"/>
    <n v="3044.12"/>
    <n v="0.13669765144371099"/>
  </r>
  <r>
    <n v="2662"/>
    <s v="2023-05-13"/>
    <x v="2"/>
    <x v="0"/>
    <x v="0"/>
    <n v="16553"/>
    <n v="4705.2299999999996"/>
    <n v="0.28425240137739383"/>
  </r>
  <r>
    <n v="2663"/>
    <s v="2024-03-10"/>
    <x v="0"/>
    <x v="2"/>
    <x v="2"/>
    <n v="27317"/>
    <n v="3444.17"/>
    <n v="0.1260815609327525"/>
  </r>
  <r>
    <n v="2664"/>
    <s v="2023-10-10"/>
    <x v="1"/>
    <x v="4"/>
    <x v="2"/>
    <n v="19512"/>
    <n v="2018.58"/>
    <n v="0.10345325953259532"/>
  </r>
  <r>
    <n v="2665"/>
    <s v="2023-07-16"/>
    <x v="1"/>
    <x v="2"/>
    <x v="2"/>
    <n v="17231"/>
    <n v="2103.63"/>
    <n v="0.12208403458882247"/>
  </r>
  <r>
    <n v="2666"/>
    <s v="2024-02-18"/>
    <x v="0"/>
    <x v="2"/>
    <x v="1"/>
    <n v="29105"/>
    <n v="4001.53"/>
    <n v="0.13748599896924929"/>
  </r>
  <r>
    <n v="2667"/>
    <s v="2024-02-08"/>
    <x v="2"/>
    <x v="0"/>
    <x v="0"/>
    <n v="19489"/>
    <n v="3954.67"/>
    <n v="0.20291805633947355"/>
  </r>
  <r>
    <n v="2668"/>
    <s v="2023-08-20"/>
    <x v="3"/>
    <x v="2"/>
    <x v="0"/>
    <n v="18077"/>
    <n v="3644.56"/>
    <n v="0.20161309951872544"/>
  </r>
  <r>
    <n v="2669"/>
    <s v="2024-03-09"/>
    <x v="2"/>
    <x v="1"/>
    <x v="0"/>
    <n v="3394"/>
    <n v="807.44"/>
    <n v="0.23790218031820862"/>
  </r>
  <r>
    <n v="2670"/>
    <s v="2023-10-08"/>
    <x v="1"/>
    <x v="4"/>
    <x v="2"/>
    <n v="11569"/>
    <n v="3115.8"/>
    <n v="0.26932319128706028"/>
  </r>
  <r>
    <n v="2671"/>
    <s v="2023-12-17"/>
    <x v="2"/>
    <x v="0"/>
    <x v="2"/>
    <n v="4182"/>
    <n v="461.71"/>
    <n v="0.11040411286465805"/>
  </r>
  <r>
    <n v="2672"/>
    <s v="2024-01-23"/>
    <x v="1"/>
    <x v="1"/>
    <x v="2"/>
    <n v="8514"/>
    <n v="2187.46"/>
    <n v="0.25692506459948322"/>
  </r>
  <r>
    <n v="2673"/>
    <s v="2023-11-05"/>
    <x v="1"/>
    <x v="1"/>
    <x v="1"/>
    <n v="18699"/>
    <n v="2002.46"/>
    <n v="0.10708914915236109"/>
  </r>
  <r>
    <n v="2674"/>
    <s v="2023-04-04"/>
    <x v="0"/>
    <x v="1"/>
    <x v="1"/>
    <n v="8623"/>
    <n v="1800.76"/>
    <n v="0.20883219297228342"/>
  </r>
  <r>
    <n v="2675"/>
    <s v="2023-07-16"/>
    <x v="2"/>
    <x v="1"/>
    <x v="0"/>
    <n v="9030"/>
    <n v="1590.44"/>
    <n v="0.17612846068660024"/>
  </r>
  <r>
    <n v="2676"/>
    <s v="2023-11-21"/>
    <x v="2"/>
    <x v="2"/>
    <x v="2"/>
    <n v="8643"/>
    <n v="1319.54"/>
    <n v="0.15267152609047785"/>
  </r>
  <r>
    <n v="2677"/>
    <s v="2023-04-02"/>
    <x v="1"/>
    <x v="1"/>
    <x v="2"/>
    <n v="5058"/>
    <n v="1101.54"/>
    <n v="0.21778173190984579"/>
  </r>
  <r>
    <n v="2678"/>
    <s v="2023-12-24"/>
    <x v="1"/>
    <x v="1"/>
    <x v="1"/>
    <n v="16495"/>
    <n v="3632.62"/>
    <n v="0.22022552288572295"/>
  </r>
  <r>
    <n v="2679"/>
    <s v="2024-02-09"/>
    <x v="1"/>
    <x v="4"/>
    <x v="2"/>
    <n v="6477"/>
    <n v="1374.81"/>
    <n v="0.21226030569708199"/>
  </r>
  <r>
    <n v="2680"/>
    <s v="2023-02-23"/>
    <x v="3"/>
    <x v="4"/>
    <x v="1"/>
    <n v="8737"/>
    <n v="734.03"/>
    <n v="8.4013963603067413E-2"/>
  </r>
  <r>
    <n v="2681"/>
    <s v="2023-03-05"/>
    <x v="2"/>
    <x v="1"/>
    <x v="0"/>
    <n v="1440"/>
    <n v="151.35"/>
    <n v="0.10510416666666667"/>
  </r>
  <r>
    <n v="2682"/>
    <s v="2023-09-06"/>
    <x v="0"/>
    <x v="2"/>
    <x v="2"/>
    <n v="28734"/>
    <n v="7406.92"/>
    <n v="0.2577754576459943"/>
  </r>
  <r>
    <n v="2683"/>
    <s v="2024-03-14"/>
    <x v="0"/>
    <x v="5"/>
    <x v="1"/>
    <n v="17399"/>
    <n v="1536.45"/>
    <n v="8.8306799241335707E-2"/>
  </r>
  <r>
    <n v="2684"/>
    <s v="2023-11-25"/>
    <x v="2"/>
    <x v="0"/>
    <x v="0"/>
    <n v="1015"/>
    <n v="249.49"/>
    <n v="0.24580295566502464"/>
  </r>
  <r>
    <n v="2685"/>
    <s v="2023-12-22"/>
    <x v="3"/>
    <x v="0"/>
    <x v="1"/>
    <n v="12171"/>
    <n v="3266.78"/>
    <n v="0.26840686878645964"/>
  </r>
  <r>
    <n v="2686"/>
    <s v="2023-08-26"/>
    <x v="1"/>
    <x v="2"/>
    <x v="2"/>
    <n v="17377"/>
    <n v="2929.14"/>
    <n v="0.16856419404960579"/>
  </r>
  <r>
    <n v="2687"/>
    <s v="2023-01-17"/>
    <x v="3"/>
    <x v="0"/>
    <x v="1"/>
    <n v="15736"/>
    <n v="4702.12"/>
    <n v="0.29881291306558211"/>
  </r>
  <r>
    <n v="2688"/>
    <s v="2024-02-18"/>
    <x v="1"/>
    <x v="1"/>
    <x v="0"/>
    <n v="20359"/>
    <n v="5672.88"/>
    <n v="0.27864236946804855"/>
  </r>
  <r>
    <n v="2689"/>
    <s v="2024-02-23"/>
    <x v="2"/>
    <x v="5"/>
    <x v="2"/>
    <n v="14586"/>
    <n v="3056.66"/>
    <n v="0.20956122309063485"/>
  </r>
  <r>
    <n v="2690"/>
    <s v="2023-09-10"/>
    <x v="0"/>
    <x v="1"/>
    <x v="1"/>
    <n v="9928"/>
    <n v="1272.74"/>
    <n v="0.12819701853344079"/>
  </r>
  <r>
    <n v="2691"/>
    <s v="2023-04-11"/>
    <x v="0"/>
    <x v="2"/>
    <x v="0"/>
    <n v="18118"/>
    <n v="5374.07"/>
    <n v="0.29661496853957386"/>
  </r>
  <r>
    <n v="2692"/>
    <s v="2023-11-04"/>
    <x v="0"/>
    <x v="4"/>
    <x v="1"/>
    <n v="11093"/>
    <n v="3169.19"/>
    <n v="0.28569277923014513"/>
  </r>
  <r>
    <n v="2693"/>
    <s v="2023-12-04"/>
    <x v="3"/>
    <x v="5"/>
    <x v="2"/>
    <n v="25389"/>
    <n v="2353.96"/>
    <n v="9.2715743038323681E-2"/>
  </r>
  <r>
    <n v="2694"/>
    <s v="2024-01-22"/>
    <x v="2"/>
    <x v="1"/>
    <x v="2"/>
    <n v="12733"/>
    <n v="2026.56"/>
    <n v="0.15915809314379958"/>
  </r>
  <r>
    <n v="2695"/>
    <s v="2024-02-05"/>
    <x v="1"/>
    <x v="3"/>
    <x v="0"/>
    <n v="2717"/>
    <n v="510.65"/>
    <n v="0.18794626426205371"/>
  </r>
  <r>
    <n v="2696"/>
    <s v="2023-05-06"/>
    <x v="3"/>
    <x v="2"/>
    <x v="0"/>
    <n v="4556"/>
    <n v="1140.07"/>
    <n v="0.25023485513608429"/>
  </r>
  <r>
    <n v="2697"/>
    <s v="2024-03-24"/>
    <x v="2"/>
    <x v="4"/>
    <x v="0"/>
    <n v="1657"/>
    <n v="175.57"/>
    <n v="0.10595654797827399"/>
  </r>
  <r>
    <n v="2698"/>
    <s v="2023-07-06"/>
    <x v="1"/>
    <x v="0"/>
    <x v="2"/>
    <n v="27210"/>
    <n v="7815.01"/>
    <n v="0.28721095185593531"/>
  </r>
  <r>
    <n v="2699"/>
    <s v="2023-04-22"/>
    <x v="1"/>
    <x v="2"/>
    <x v="1"/>
    <n v="12148"/>
    <n v="2151.81"/>
    <n v="0.17713286137635825"/>
  </r>
  <r>
    <n v="2700"/>
    <s v="2023-02-11"/>
    <x v="0"/>
    <x v="4"/>
    <x v="2"/>
    <n v="21167"/>
    <n v="4237.9799999999996"/>
    <n v="0.20021637454528274"/>
  </r>
  <r>
    <n v="2701"/>
    <s v="2023-09-28"/>
    <x v="3"/>
    <x v="2"/>
    <x v="1"/>
    <n v="15734"/>
    <n v="1388.63"/>
    <n v="8.8256641667725955E-2"/>
  </r>
  <r>
    <n v="2702"/>
    <s v="2023-07-28"/>
    <x v="2"/>
    <x v="0"/>
    <x v="2"/>
    <n v="12947"/>
    <n v="3046.88"/>
    <n v="0.23533482660075694"/>
  </r>
  <r>
    <n v="2703"/>
    <s v="2023-02-26"/>
    <x v="0"/>
    <x v="2"/>
    <x v="0"/>
    <n v="24145"/>
    <n v="3564.98"/>
    <n v="0.14764878856906191"/>
  </r>
  <r>
    <n v="2704"/>
    <s v="2024-01-30"/>
    <x v="1"/>
    <x v="5"/>
    <x v="2"/>
    <n v="5359"/>
    <n v="774.2"/>
    <n v="0.14446725135286434"/>
  </r>
  <r>
    <n v="2705"/>
    <s v="2023-11-30"/>
    <x v="3"/>
    <x v="2"/>
    <x v="1"/>
    <n v="12629"/>
    <n v="3539.16"/>
    <n v="0.28024071581281179"/>
  </r>
  <r>
    <n v="2706"/>
    <s v="2023-07-20"/>
    <x v="3"/>
    <x v="0"/>
    <x v="1"/>
    <n v="15986"/>
    <n v="2402.15"/>
    <n v="0.15026585762542224"/>
  </r>
  <r>
    <n v="2707"/>
    <s v="2023-04-15"/>
    <x v="0"/>
    <x v="5"/>
    <x v="2"/>
    <n v="15587"/>
    <n v="4617.6000000000004"/>
    <n v="0.29624687239366143"/>
  </r>
  <r>
    <n v="2708"/>
    <s v="2023-12-22"/>
    <x v="2"/>
    <x v="5"/>
    <x v="2"/>
    <n v="13785"/>
    <n v="2377.27"/>
    <n v="0.17245339136742835"/>
  </r>
  <r>
    <n v="2709"/>
    <s v="2023-01-29"/>
    <x v="0"/>
    <x v="4"/>
    <x v="0"/>
    <n v="18971"/>
    <n v="4841.21"/>
    <n v="0.25519002688313741"/>
  </r>
  <r>
    <n v="2710"/>
    <s v="2023-10-20"/>
    <x v="2"/>
    <x v="5"/>
    <x v="0"/>
    <n v="26265"/>
    <n v="6122.29"/>
    <n v="0.23309689701123168"/>
  </r>
  <r>
    <n v="2711"/>
    <s v="2023-06-17"/>
    <x v="2"/>
    <x v="3"/>
    <x v="0"/>
    <n v="22096"/>
    <n v="2956.51"/>
    <n v="0.13380295076031862"/>
  </r>
  <r>
    <n v="2712"/>
    <s v="2024-01-28"/>
    <x v="3"/>
    <x v="2"/>
    <x v="1"/>
    <n v="16752"/>
    <n v="2853.38"/>
    <n v="0.17033070678127984"/>
  </r>
  <r>
    <n v="2713"/>
    <s v="2024-01-25"/>
    <x v="1"/>
    <x v="2"/>
    <x v="0"/>
    <n v="28972"/>
    <n v="8401.5300000000007"/>
    <n v="0.28998791937042662"/>
  </r>
  <r>
    <n v="2714"/>
    <s v="2023-09-23"/>
    <x v="3"/>
    <x v="5"/>
    <x v="1"/>
    <n v="8814"/>
    <n v="1724.9"/>
    <n v="0.19570002269117315"/>
  </r>
  <r>
    <n v="2715"/>
    <s v="2023-06-29"/>
    <x v="0"/>
    <x v="2"/>
    <x v="2"/>
    <n v="5162"/>
    <n v="539.22"/>
    <n v="0.10445951181712515"/>
  </r>
  <r>
    <n v="2716"/>
    <s v="2023-11-25"/>
    <x v="0"/>
    <x v="1"/>
    <x v="0"/>
    <n v="8074"/>
    <n v="806.4"/>
    <n v="9.9876145652712411E-2"/>
  </r>
  <r>
    <n v="2717"/>
    <s v="2023-08-24"/>
    <x v="1"/>
    <x v="1"/>
    <x v="2"/>
    <n v="15644"/>
    <n v="3316.62"/>
    <n v="0.21200588084888775"/>
  </r>
  <r>
    <n v="2718"/>
    <s v="2024-03-10"/>
    <x v="3"/>
    <x v="4"/>
    <x v="0"/>
    <n v="3526"/>
    <n v="388.53"/>
    <n v="0.11019001701644923"/>
  </r>
  <r>
    <n v="2719"/>
    <s v="2024-02-14"/>
    <x v="1"/>
    <x v="3"/>
    <x v="0"/>
    <n v="15269"/>
    <n v="4471.7"/>
    <n v="0.29286135306830835"/>
  </r>
  <r>
    <n v="2720"/>
    <s v="2023-07-10"/>
    <x v="0"/>
    <x v="4"/>
    <x v="1"/>
    <n v="21763"/>
    <n v="6199.39"/>
    <n v="0.28485916463722832"/>
  </r>
  <r>
    <n v="2721"/>
    <s v="2023-10-09"/>
    <x v="1"/>
    <x v="0"/>
    <x v="1"/>
    <n v="11359"/>
    <n v="1261.97"/>
    <n v="0.11109868826481205"/>
  </r>
  <r>
    <n v="2722"/>
    <s v="2023-03-01"/>
    <x v="0"/>
    <x v="5"/>
    <x v="0"/>
    <n v="21755"/>
    <n v="2639.33"/>
    <n v="0.12132061595035623"/>
  </r>
  <r>
    <n v="2723"/>
    <s v="2023-11-30"/>
    <x v="0"/>
    <x v="2"/>
    <x v="1"/>
    <n v="25751"/>
    <n v="5397.7"/>
    <n v="0.20961127723195214"/>
  </r>
  <r>
    <n v="2724"/>
    <s v="2023-06-07"/>
    <x v="3"/>
    <x v="0"/>
    <x v="0"/>
    <n v="13022"/>
    <n v="1223.79"/>
    <n v="9.3978651512824446E-2"/>
  </r>
  <r>
    <n v="2725"/>
    <s v="2023-08-25"/>
    <x v="3"/>
    <x v="4"/>
    <x v="0"/>
    <n v="1483"/>
    <n v="443"/>
    <n v="0.29871881321645316"/>
  </r>
  <r>
    <n v="2726"/>
    <s v="2023-07-06"/>
    <x v="2"/>
    <x v="2"/>
    <x v="2"/>
    <n v="2833"/>
    <n v="551.96"/>
    <n v="0.19483233321567245"/>
  </r>
  <r>
    <n v="2727"/>
    <s v="2023-01-15"/>
    <x v="0"/>
    <x v="2"/>
    <x v="1"/>
    <n v="5434"/>
    <n v="1210.18"/>
    <n v="0.22270518954729482"/>
  </r>
  <r>
    <n v="2728"/>
    <s v="2023-01-29"/>
    <x v="2"/>
    <x v="2"/>
    <x v="2"/>
    <n v="9417"/>
    <n v="1219.06"/>
    <n v="0.1294531167038335"/>
  </r>
  <r>
    <n v="2729"/>
    <s v="2023-08-12"/>
    <x v="2"/>
    <x v="4"/>
    <x v="2"/>
    <n v="7635"/>
    <n v="2021.99"/>
    <n v="0.26483169613621482"/>
  </r>
  <r>
    <n v="2730"/>
    <s v="2024-02-29"/>
    <x v="0"/>
    <x v="1"/>
    <x v="1"/>
    <n v="19142"/>
    <n v="1901.8"/>
    <n v="9.9352209800438823E-2"/>
  </r>
  <r>
    <n v="2731"/>
    <s v="2023-10-31"/>
    <x v="1"/>
    <x v="4"/>
    <x v="0"/>
    <n v="9090"/>
    <n v="851.94"/>
    <n v="9.3722772277227723E-2"/>
  </r>
  <r>
    <n v="2732"/>
    <s v="2023-04-05"/>
    <x v="3"/>
    <x v="2"/>
    <x v="2"/>
    <n v="7820"/>
    <n v="1418.66"/>
    <n v="0.18141432225063939"/>
  </r>
  <r>
    <n v="2733"/>
    <s v="2023-04-04"/>
    <x v="3"/>
    <x v="0"/>
    <x v="0"/>
    <n v="26828"/>
    <n v="3471.16"/>
    <n v="0.12938571641568511"/>
  </r>
  <r>
    <n v="2734"/>
    <s v="2023-01-15"/>
    <x v="2"/>
    <x v="0"/>
    <x v="2"/>
    <n v="3170"/>
    <n v="891.59"/>
    <n v="0.28125867507886437"/>
  </r>
  <r>
    <n v="2735"/>
    <s v="2023-01-10"/>
    <x v="2"/>
    <x v="4"/>
    <x v="2"/>
    <n v="8741"/>
    <n v="1606.44"/>
    <n v="0.1837821759524082"/>
  </r>
  <r>
    <n v="2736"/>
    <s v="2023-12-11"/>
    <x v="3"/>
    <x v="2"/>
    <x v="2"/>
    <n v="6913"/>
    <n v="1542.38"/>
    <n v="0.22311297555330539"/>
  </r>
  <r>
    <n v="2737"/>
    <s v="2023-01-24"/>
    <x v="2"/>
    <x v="2"/>
    <x v="1"/>
    <n v="29259"/>
    <n v="3502.02"/>
    <n v="0.11969035168666052"/>
  </r>
  <r>
    <n v="2738"/>
    <s v="2023-07-15"/>
    <x v="0"/>
    <x v="4"/>
    <x v="1"/>
    <n v="14364"/>
    <n v="3451.8"/>
    <n v="0.24030910609857981"/>
  </r>
  <r>
    <n v="2739"/>
    <s v="2024-01-02"/>
    <x v="0"/>
    <x v="5"/>
    <x v="1"/>
    <n v="28003"/>
    <n v="7739.94"/>
    <n v="0.27639681462700422"/>
  </r>
  <r>
    <n v="2740"/>
    <s v="2023-02-26"/>
    <x v="2"/>
    <x v="1"/>
    <x v="2"/>
    <n v="18112"/>
    <n v="3569.76"/>
    <n v="0.19709363957597173"/>
  </r>
  <r>
    <n v="2741"/>
    <s v="2023-04-18"/>
    <x v="1"/>
    <x v="0"/>
    <x v="0"/>
    <n v="24763"/>
    <n v="6097.88"/>
    <n v="0.24624964665024432"/>
  </r>
  <r>
    <n v="2742"/>
    <s v="2023-08-26"/>
    <x v="0"/>
    <x v="5"/>
    <x v="2"/>
    <n v="18309"/>
    <n v="3987"/>
    <n v="0.21776175651319024"/>
  </r>
  <r>
    <n v="2743"/>
    <s v="2024-03-13"/>
    <x v="0"/>
    <x v="0"/>
    <x v="2"/>
    <n v="9337"/>
    <n v="773.55"/>
    <n v="8.2847809789011462E-2"/>
  </r>
  <r>
    <n v="2744"/>
    <s v="2024-01-31"/>
    <x v="2"/>
    <x v="3"/>
    <x v="1"/>
    <n v="20157"/>
    <n v="6021.15"/>
    <n v="0.29871260604256583"/>
  </r>
  <r>
    <n v="2745"/>
    <s v="2023-09-11"/>
    <x v="3"/>
    <x v="5"/>
    <x v="2"/>
    <n v="12060"/>
    <n v="1486.43"/>
    <n v="0.12325290215588723"/>
  </r>
  <r>
    <n v="2746"/>
    <s v="2023-07-11"/>
    <x v="0"/>
    <x v="1"/>
    <x v="1"/>
    <n v="23943"/>
    <n v="4842.71"/>
    <n v="0.2022599507162845"/>
  </r>
  <r>
    <n v="2747"/>
    <s v="2024-03-18"/>
    <x v="2"/>
    <x v="3"/>
    <x v="2"/>
    <n v="15657"/>
    <n v="1893.79"/>
    <n v="0.12095484447850802"/>
  </r>
  <r>
    <n v="2748"/>
    <s v="2024-02-28"/>
    <x v="3"/>
    <x v="0"/>
    <x v="0"/>
    <n v="25776"/>
    <n v="4402.0200000000004"/>
    <n v="0.17077979515828678"/>
  </r>
  <r>
    <n v="2749"/>
    <s v="2023-11-16"/>
    <x v="1"/>
    <x v="5"/>
    <x v="2"/>
    <n v="22229"/>
    <n v="2140.2800000000002"/>
    <n v="9.6283233613747812E-2"/>
  </r>
  <r>
    <n v="2750"/>
    <s v="2023-07-23"/>
    <x v="3"/>
    <x v="4"/>
    <x v="2"/>
    <n v="8226"/>
    <n v="1899.35"/>
    <n v="0.23089593970337952"/>
  </r>
  <r>
    <n v="2751"/>
    <s v="2023-09-09"/>
    <x v="1"/>
    <x v="1"/>
    <x v="2"/>
    <n v="1963"/>
    <n v="481.79"/>
    <n v="0.24543555781966378"/>
  </r>
  <r>
    <n v="2752"/>
    <s v="2023-12-10"/>
    <x v="0"/>
    <x v="1"/>
    <x v="0"/>
    <n v="28477"/>
    <n v="7291.41"/>
    <n v="0.25604558064402849"/>
  </r>
  <r>
    <n v="2753"/>
    <s v="2023-09-26"/>
    <x v="3"/>
    <x v="1"/>
    <x v="0"/>
    <n v="9287"/>
    <n v="1211.48"/>
    <n v="0.13044901475180359"/>
  </r>
  <r>
    <n v="2754"/>
    <s v="2023-01-06"/>
    <x v="0"/>
    <x v="1"/>
    <x v="2"/>
    <n v="14975"/>
    <n v="3471.49"/>
    <n v="0.23181903171953255"/>
  </r>
  <r>
    <n v="2755"/>
    <s v="2023-01-07"/>
    <x v="3"/>
    <x v="1"/>
    <x v="1"/>
    <n v="4845"/>
    <n v="1095.8499999999999"/>
    <n v="0.22618163054695561"/>
  </r>
  <r>
    <n v="2756"/>
    <s v="2024-03-06"/>
    <x v="1"/>
    <x v="2"/>
    <x v="1"/>
    <n v="22130"/>
    <n v="2526.15"/>
    <n v="0.11415047446904655"/>
  </r>
  <r>
    <n v="2757"/>
    <s v="2023-12-07"/>
    <x v="3"/>
    <x v="0"/>
    <x v="1"/>
    <n v="16007"/>
    <n v="4628.6499999999996"/>
    <n v="0.2891641156993815"/>
  </r>
  <r>
    <n v="2758"/>
    <s v="2023-08-25"/>
    <x v="0"/>
    <x v="5"/>
    <x v="2"/>
    <n v="23807"/>
    <n v="5332.59"/>
    <n v="0.22399252320745999"/>
  </r>
  <r>
    <n v="2759"/>
    <s v="2024-02-25"/>
    <x v="2"/>
    <x v="0"/>
    <x v="0"/>
    <n v="10786"/>
    <n v="1067.92"/>
    <n v="9.9009827554236984E-2"/>
  </r>
  <r>
    <n v="2760"/>
    <s v="2023-03-26"/>
    <x v="0"/>
    <x v="2"/>
    <x v="0"/>
    <n v="10952"/>
    <n v="1502.75"/>
    <n v="0.13721238130021915"/>
  </r>
  <r>
    <n v="2761"/>
    <s v="2023-12-18"/>
    <x v="1"/>
    <x v="0"/>
    <x v="1"/>
    <n v="1897"/>
    <n v="380.8"/>
    <n v="0.2007380073800738"/>
  </r>
  <r>
    <n v="2762"/>
    <s v="2023-07-19"/>
    <x v="1"/>
    <x v="2"/>
    <x v="2"/>
    <n v="25396"/>
    <n v="4781.09"/>
    <n v="0.18826153724996064"/>
  </r>
  <r>
    <n v="2763"/>
    <s v="2023-10-11"/>
    <x v="1"/>
    <x v="4"/>
    <x v="1"/>
    <n v="13994"/>
    <n v="2792.67"/>
    <n v="0.19956195512362443"/>
  </r>
  <r>
    <n v="2764"/>
    <s v="2023-01-10"/>
    <x v="1"/>
    <x v="2"/>
    <x v="2"/>
    <n v="21335"/>
    <n v="4058.86"/>
    <n v="0.19024419967190065"/>
  </r>
  <r>
    <n v="2765"/>
    <s v="2023-01-29"/>
    <x v="3"/>
    <x v="3"/>
    <x v="1"/>
    <n v="26249"/>
    <n v="2135.3200000000002"/>
    <n v="8.1348622804678278E-2"/>
  </r>
  <r>
    <n v="2766"/>
    <s v="2023-09-08"/>
    <x v="1"/>
    <x v="1"/>
    <x v="2"/>
    <n v="29517"/>
    <n v="2742.41"/>
    <n v="9.2909509774028523E-2"/>
  </r>
  <r>
    <n v="2767"/>
    <s v="2023-08-26"/>
    <x v="1"/>
    <x v="3"/>
    <x v="0"/>
    <n v="22153"/>
    <n v="4711.68"/>
    <n v="0.21268812350471722"/>
  </r>
  <r>
    <n v="2768"/>
    <s v="2024-03-06"/>
    <x v="3"/>
    <x v="5"/>
    <x v="2"/>
    <n v="23627"/>
    <n v="5658.47"/>
    <n v="0.23949168324374656"/>
  </r>
  <r>
    <n v="2769"/>
    <s v="2023-07-29"/>
    <x v="0"/>
    <x v="0"/>
    <x v="2"/>
    <n v="12532"/>
    <n v="2014.48"/>
    <n v="0.16074688796680497"/>
  </r>
  <r>
    <n v="2770"/>
    <s v="2023-09-10"/>
    <x v="3"/>
    <x v="0"/>
    <x v="1"/>
    <n v="15895"/>
    <n v="4185.05"/>
    <n v="0.26329348851840201"/>
  </r>
  <r>
    <n v="2771"/>
    <s v="2023-10-09"/>
    <x v="2"/>
    <x v="5"/>
    <x v="0"/>
    <n v="10387"/>
    <n v="1442.07"/>
    <n v="0.1388341195725426"/>
  </r>
  <r>
    <n v="2772"/>
    <s v="2024-03-10"/>
    <x v="2"/>
    <x v="5"/>
    <x v="2"/>
    <n v="29342"/>
    <n v="7357.94"/>
    <n v="0.25076477404403241"/>
  </r>
  <r>
    <n v="2773"/>
    <s v="2023-08-21"/>
    <x v="0"/>
    <x v="3"/>
    <x v="0"/>
    <n v="6056"/>
    <n v="1145.18"/>
    <n v="0.18909841479524439"/>
  </r>
  <r>
    <n v="2774"/>
    <s v="2023-12-23"/>
    <x v="0"/>
    <x v="1"/>
    <x v="2"/>
    <n v="25070"/>
    <n v="5390.15"/>
    <n v="0.21500398883127242"/>
  </r>
  <r>
    <n v="2775"/>
    <s v="2023-05-31"/>
    <x v="0"/>
    <x v="2"/>
    <x v="2"/>
    <n v="11386"/>
    <n v="2620.06"/>
    <n v="0.23011241875988056"/>
  </r>
  <r>
    <n v="2776"/>
    <s v="2023-03-14"/>
    <x v="1"/>
    <x v="2"/>
    <x v="0"/>
    <n v="14314"/>
    <n v="2215.37"/>
    <n v="0.15476945647617715"/>
  </r>
  <r>
    <n v="2777"/>
    <s v="2023-06-29"/>
    <x v="1"/>
    <x v="1"/>
    <x v="1"/>
    <n v="15786"/>
    <n v="3064.76"/>
    <n v="0.19414417838591158"/>
  </r>
  <r>
    <n v="2778"/>
    <s v="2023-04-16"/>
    <x v="3"/>
    <x v="3"/>
    <x v="1"/>
    <n v="1812"/>
    <n v="349.53"/>
    <n v="0.19289735099337746"/>
  </r>
  <r>
    <n v="2779"/>
    <s v="2023-08-12"/>
    <x v="0"/>
    <x v="3"/>
    <x v="1"/>
    <n v="11337"/>
    <n v="1439.78"/>
    <n v="0.1269983240716239"/>
  </r>
  <r>
    <n v="2780"/>
    <s v="2023-08-21"/>
    <x v="0"/>
    <x v="0"/>
    <x v="0"/>
    <n v="26791"/>
    <n v="6163.29"/>
    <n v="0.23005076331603896"/>
  </r>
  <r>
    <n v="2781"/>
    <s v="2023-05-02"/>
    <x v="0"/>
    <x v="3"/>
    <x v="1"/>
    <n v="7670"/>
    <n v="1249.49"/>
    <n v="0.16290612777053456"/>
  </r>
  <r>
    <n v="2782"/>
    <s v="2024-02-03"/>
    <x v="2"/>
    <x v="5"/>
    <x v="1"/>
    <n v="25397"/>
    <n v="5873.99"/>
    <n v="0.23128676615348268"/>
  </r>
  <r>
    <n v="2783"/>
    <s v="2023-09-15"/>
    <x v="1"/>
    <x v="1"/>
    <x v="2"/>
    <n v="14534"/>
    <n v="3201.01"/>
    <n v="0.22024287876702905"/>
  </r>
  <r>
    <n v="2784"/>
    <s v="2023-09-01"/>
    <x v="3"/>
    <x v="1"/>
    <x v="0"/>
    <n v="9962"/>
    <n v="2882.23"/>
    <n v="0.28932242521582013"/>
  </r>
  <r>
    <n v="2785"/>
    <s v="2023-05-25"/>
    <x v="2"/>
    <x v="1"/>
    <x v="2"/>
    <n v="21374"/>
    <n v="5872.7"/>
    <n v="0.27475905305511367"/>
  </r>
  <r>
    <n v="2786"/>
    <s v="2023-09-13"/>
    <x v="0"/>
    <x v="3"/>
    <x v="0"/>
    <n v="12772"/>
    <n v="2981.26"/>
    <n v="0.23342154713435642"/>
  </r>
  <r>
    <n v="2787"/>
    <s v="2023-08-24"/>
    <x v="0"/>
    <x v="3"/>
    <x v="2"/>
    <n v="19362"/>
    <n v="2352.17"/>
    <n v="0.12148383431463693"/>
  </r>
  <r>
    <n v="2788"/>
    <s v="2023-03-13"/>
    <x v="2"/>
    <x v="3"/>
    <x v="2"/>
    <n v="24890"/>
    <n v="6830.19"/>
    <n v="0.27441502611490559"/>
  </r>
  <r>
    <n v="2789"/>
    <s v="2023-03-10"/>
    <x v="3"/>
    <x v="1"/>
    <x v="0"/>
    <n v="3928"/>
    <n v="833.62"/>
    <n v="0.21222505091649693"/>
  </r>
  <r>
    <n v="2790"/>
    <s v="2024-03-25"/>
    <x v="1"/>
    <x v="1"/>
    <x v="0"/>
    <n v="21557"/>
    <n v="2613.88"/>
    <n v="0.12125434893538062"/>
  </r>
  <r>
    <n v="2791"/>
    <s v="2023-09-03"/>
    <x v="2"/>
    <x v="3"/>
    <x v="0"/>
    <n v="28883"/>
    <n v="5817.43"/>
    <n v="0.20141363431776479"/>
  </r>
  <r>
    <n v="2792"/>
    <s v="2023-02-03"/>
    <x v="0"/>
    <x v="4"/>
    <x v="0"/>
    <n v="16601"/>
    <n v="4182.9799999999996"/>
    <n v="0.25197156797783266"/>
  </r>
  <r>
    <n v="2793"/>
    <s v="2024-01-27"/>
    <x v="1"/>
    <x v="4"/>
    <x v="2"/>
    <n v="25008"/>
    <n v="2596.27"/>
    <n v="0.10381757837492002"/>
  </r>
  <r>
    <n v="2794"/>
    <s v="2023-04-10"/>
    <x v="2"/>
    <x v="4"/>
    <x v="2"/>
    <n v="13959"/>
    <n v="1377.58"/>
    <n v="9.8687585070563785E-2"/>
  </r>
  <r>
    <n v="2795"/>
    <s v="2023-08-04"/>
    <x v="3"/>
    <x v="5"/>
    <x v="2"/>
    <n v="15658"/>
    <n v="4108.51"/>
    <n v="0.26239047132456256"/>
  </r>
  <r>
    <n v="2796"/>
    <s v="2023-03-22"/>
    <x v="0"/>
    <x v="5"/>
    <x v="2"/>
    <n v="3340"/>
    <n v="692.2"/>
    <n v="0.20724550898203595"/>
  </r>
  <r>
    <n v="2797"/>
    <s v="2023-06-19"/>
    <x v="3"/>
    <x v="3"/>
    <x v="2"/>
    <n v="16604"/>
    <n v="1388.8"/>
    <n v="8.3642495784148396E-2"/>
  </r>
  <r>
    <n v="2798"/>
    <s v="2024-01-29"/>
    <x v="3"/>
    <x v="0"/>
    <x v="1"/>
    <n v="17678"/>
    <n v="2020.35"/>
    <n v="0.11428611833917864"/>
  </r>
  <r>
    <n v="2799"/>
    <s v="2023-10-16"/>
    <x v="3"/>
    <x v="4"/>
    <x v="2"/>
    <n v="19514"/>
    <n v="3668.47"/>
    <n v="0.18799169826791021"/>
  </r>
  <r>
    <n v="2800"/>
    <s v="2023-05-14"/>
    <x v="1"/>
    <x v="2"/>
    <x v="1"/>
    <n v="24991"/>
    <n v="2071.54"/>
    <n v="8.2891440918730741E-2"/>
  </r>
  <r>
    <n v="2801"/>
    <s v="2023-03-29"/>
    <x v="0"/>
    <x v="3"/>
    <x v="0"/>
    <n v="19405"/>
    <n v="4992.3999999999996"/>
    <n v="0.25727389847977322"/>
  </r>
  <r>
    <n v="2802"/>
    <s v="2023-01-02"/>
    <x v="1"/>
    <x v="4"/>
    <x v="0"/>
    <n v="5135"/>
    <n v="1387.58"/>
    <n v="0.27022005842259006"/>
  </r>
  <r>
    <n v="2803"/>
    <s v="2023-04-30"/>
    <x v="3"/>
    <x v="1"/>
    <x v="1"/>
    <n v="1054"/>
    <n v="94.26"/>
    <n v="8.9430740037950665E-2"/>
  </r>
  <r>
    <n v="2804"/>
    <s v="2024-01-11"/>
    <x v="1"/>
    <x v="1"/>
    <x v="2"/>
    <n v="13005"/>
    <n v="1245.48"/>
    <n v="9.5769319492502891E-2"/>
  </r>
  <r>
    <n v="2805"/>
    <s v="2023-11-03"/>
    <x v="1"/>
    <x v="4"/>
    <x v="1"/>
    <n v="19909"/>
    <n v="3200.11"/>
    <n v="0.16073685267969262"/>
  </r>
  <r>
    <n v="2806"/>
    <s v="2023-08-24"/>
    <x v="1"/>
    <x v="4"/>
    <x v="2"/>
    <n v="8539"/>
    <n v="1117.03"/>
    <n v="0.13081508373345824"/>
  </r>
  <r>
    <n v="2807"/>
    <s v="2023-10-10"/>
    <x v="2"/>
    <x v="3"/>
    <x v="1"/>
    <n v="7023"/>
    <n v="1234.04"/>
    <n v="0.17571408230101096"/>
  </r>
  <r>
    <n v="2808"/>
    <s v="2023-08-23"/>
    <x v="1"/>
    <x v="5"/>
    <x v="2"/>
    <n v="16353"/>
    <n v="3717.33"/>
    <n v="0.2273179233168226"/>
  </r>
  <r>
    <n v="2809"/>
    <s v="2023-05-28"/>
    <x v="3"/>
    <x v="2"/>
    <x v="1"/>
    <n v="9902"/>
    <n v="2882.98"/>
    <n v="0.29115128256917794"/>
  </r>
  <r>
    <n v="2810"/>
    <s v="2023-01-06"/>
    <x v="3"/>
    <x v="2"/>
    <x v="1"/>
    <n v="29592"/>
    <n v="6411.5"/>
    <n v="0.21666328737496621"/>
  </r>
  <r>
    <n v="2811"/>
    <s v="2023-05-21"/>
    <x v="3"/>
    <x v="0"/>
    <x v="0"/>
    <n v="19436"/>
    <n v="5195.55"/>
    <n v="0.26731580572134184"/>
  </r>
  <r>
    <n v="2812"/>
    <s v="2024-02-20"/>
    <x v="1"/>
    <x v="2"/>
    <x v="0"/>
    <n v="12530"/>
    <n v="1982.47"/>
    <n v="0.15821787709497206"/>
  </r>
  <r>
    <n v="2813"/>
    <s v="2023-09-30"/>
    <x v="1"/>
    <x v="4"/>
    <x v="0"/>
    <n v="28164"/>
    <n v="2352.54"/>
    <n v="8.3530038346825736E-2"/>
  </r>
  <r>
    <n v="2814"/>
    <s v="2023-08-02"/>
    <x v="2"/>
    <x v="3"/>
    <x v="0"/>
    <n v="26498"/>
    <n v="3142.78"/>
    <n v="0.1186044229753189"/>
  </r>
  <r>
    <n v="2815"/>
    <s v="2023-02-12"/>
    <x v="0"/>
    <x v="4"/>
    <x v="2"/>
    <n v="21170"/>
    <n v="6232.81"/>
    <n v="0.29441709966934343"/>
  </r>
  <r>
    <n v="2816"/>
    <s v="2023-07-01"/>
    <x v="0"/>
    <x v="4"/>
    <x v="1"/>
    <n v="26047"/>
    <n v="4601.54"/>
    <n v="0.17666295542672861"/>
  </r>
  <r>
    <n v="2817"/>
    <s v="2023-03-08"/>
    <x v="3"/>
    <x v="2"/>
    <x v="0"/>
    <n v="23685"/>
    <n v="5205.82"/>
    <n v="0.21979396242347476"/>
  </r>
  <r>
    <n v="2818"/>
    <s v="2023-03-05"/>
    <x v="1"/>
    <x v="5"/>
    <x v="1"/>
    <n v="12709"/>
    <n v="1226.0999999999999"/>
    <n v="9.6474939019592407E-2"/>
  </r>
  <r>
    <n v="2819"/>
    <s v="2023-03-23"/>
    <x v="1"/>
    <x v="5"/>
    <x v="2"/>
    <n v="18460"/>
    <n v="3157.86"/>
    <n v="0.17106500541711811"/>
  </r>
  <r>
    <n v="2820"/>
    <s v="2024-01-11"/>
    <x v="1"/>
    <x v="3"/>
    <x v="0"/>
    <n v="20406"/>
    <n v="3932.57"/>
    <n v="0.19271635793394101"/>
  </r>
  <r>
    <n v="2821"/>
    <s v="2023-11-25"/>
    <x v="0"/>
    <x v="3"/>
    <x v="2"/>
    <n v="24509"/>
    <n v="3104.13"/>
    <n v="0.12665265820718921"/>
  </r>
  <r>
    <n v="2822"/>
    <s v="2023-08-15"/>
    <x v="1"/>
    <x v="0"/>
    <x v="2"/>
    <n v="17098"/>
    <n v="4296.38"/>
    <n v="0.25127968183413263"/>
  </r>
  <r>
    <n v="2823"/>
    <s v="2023-03-18"/>
    <x v="1"/>
    <x v="2"/>
    <x v="1"/>
    <n v="13141"/>
    <n v="3665.08"/>
    <n v="0.27890419298379115"/>
  </r>
  <r>
    <n v="2824"/>
    <s v="2023-12-08"/>
    <x v="1"/>
    <x v="3"/>
    <x v="2"/>
    <n v="2123"/>
    <n v="633.52"/>
    <n v="0.29840791333019312"/>
  </r>
  <r>
    <n v="2825"/>
    <s v="2023-06-02"/>
    <x v="0"/>
    <x v="4"/>
    <x v="2"/>
    <n v="27194"/>
    <n v="6349.82"/>
    <n v="0.23350077222916818"/>
  </r>
  <r>
    <n v="2826"/>
    <s v="2024-01-01"/>
    <x v="0"/>
    <x v="5"/>
    <x v="1"/>
    <n v="22678"/>
    <n v="4335.01"/>
    <n v="0.19115486374459831"/>
  </r>
  <r>
    <n v="2827"/>
    <s v="2023-05-04"/>
    <x v="3"/>
    <x v="3"/>
    <x v="2"/>
    <n v="24249"/>
    <n v="3857.25"/>
    <n v="0.15906841519237908"/>
  </r>
  <r>
    <n v="2828"/>
    <s v="2023-12-18"/>
    <x v="3"/>
    <x v="2"/>
    <x v="2"/>
    <n v="14375"/>
    <n v="2882.6"/>
    <n v="0.20052869565217391"/>
  </r>
  <r>
    <n v="2829"/>
    <s v="2023-07-05"/>
    <x v="3"/>
    <x v="1"/>
    <x v="0"/>
    <n v="25748"/>
    <n v="5087.76"/>
    <n v="0.19759826005903372"/>
  </r>
  <r>
    <n v="2830"/>
    <s v="2024-02-22"/>
    <x v="0"/>
    <x v="5"/>
    <x v="0"/>
    <n v="18678"/>
    <n v="4565.34"/>
    <n v="0.24442338580147768"/>
  </r>
  <r>
    <n v="2831"/>
    <s v="2023-05-25"/>
    <x v="0"/>
    <x v="5"/>
    <x v="0"/>
    <n v="11655"/>
    <n v="2394.94"/>
    <n v="0.2054860574860575"/>
  </r>
  <r>
    <n v="2832"/>
    <s v="2024-02-01"/>
    <x v="3"/>
    <x v="5"/>
    <x v="1"/>
    <n v="8266"/>
    <n v="2318.56"/>
    <n v="0.28049358819259618"/>
  </r>
  <r>
    <n v="2833"/>
    <s v="2024-02-13"/>
    <x v="0"/>
    <x v="4"/>
    <x v="1"/>
    <n v="25513"/>
    <n v="2365.59"/>
    <n v="9.2720965782150278E-2"/>
  </r>
  <r>
    <n v="2834"/>
    <s v="2024-02-02"/>
    <x v="3"/>
    <x v="4"/>
    <x v="0"/>
    <n v="29370"/>
    <n v="3609.78"/>
    <n v="0.12290704800817161"/>
  </r>
  <r>
    <n v="2835"/>
    <s v="2024-02-19"/>
    <x v="3"/>
    <x v="3"/>
    <x v="1"/>
    <n v="11405"/>
    <n v="3329.49"/>
    <n v="0.2919324857518632"/>
  </r>
  <r>
    <n v="2836"/>
    <s v="2024-03-05"/>
    <x v="1"/>
    <x v="0"/>
    <x v="0"/>
    <n v="5491"/>
    <n v="922.76"/>
    <n v="0.16804953560371516"/>
  </r>
  <r>
    <n v="2837"/>
    <s v="2023-07-23"/>
    <x v="1"/>
    <x v="5"/>
    <x v="0"/>
    <n v="22289"/>
    <n v="3947.39"/>
    <n v="0.17710036340795907"/>
  </r>
  <r>
    <n v="2838"/>
    <s v="2024-02-01"/>
    <x v="2"/>
    <x v="2"/>
    <x v="0"/>
    <n v="15700"/>
    <n v="3164.61"/>
    <n v="0.20156751592356689"/>
  </r>
  <r>
    <n v="2839"/>
    <s v="2023-02-08"/>
    <x v="0"/>
    <x v="2"/>
    <x v="2"/>
    <n v="15275"/>
    <n v="2771.98"/>
    <n v="0.18147168576104747"/>
  </r>
  <r>
    <n v="2840"/>
    <s v="2023-03-01"/>
    <x v="0"/>
    <x v="3"/>
    <x v="0"/>
    <n v="24692"/>
    <n v="5694.61"/>
    <n v="0.23062570873157295"/>
  </r>
  <r>
    <n v="2841"/>
    <s v="2024-01-28"/>
    <x v="1"/>
    <x v="2"/>
    <x v="0"/>
    <n v="9246"/>
    <n v="2634.16"/>
    <n v="0.28489725286610423"/>
  </r>
  <r>
    <n v="2842"/>
    <s v="2023-12-23"/>
    <x v="3"/>
    <x v="5"/>
    <x v="0"/>
    <n v="26519"/>
    <n v="3013.31"/>
    <n v="0.11362834194351219"/>
  </r>
  <r>
    <n v="2843"/>
    <s v="2023-03-15"/>
    <x v="3"/>
    <x v="0"/>
    <x v="1"/>
    <n v="29590"/>
    <n v="3645.21"/>
    <n v="0.12319060493409936"/>
  </r>
  <r>
    <n v="2844"/>
    <s v="2023-03-15"/>
    <x v="2"/>
    <x v="1"/>
    <x v="0"/>
    <n v="12351"/>
    <n v="3520.74"/>
    <n v="0.28505708039834832"/>
  </r>
  <r>
    <n v="2845"/>
    <s v="2023-12-12"/>
    <x v="0"/>
    <x v="1"/>
    <x v="2"/>
    <n v="24235"/>
    <n v="2853.91"/>
    <n v="0.11775985145450794"/>
  </r>
  <r>
    <n v="2846"/>
    <s v="2023-07-26"/>
    <x v="0"/>
    <x v="3"/>
    <x v="0"/>
    <n v="6383"/>
    <n v="1488.1"/>
    <n v="0.23313488955036815"/>
  </r>
  <r>
    <n v="2847"/>
    <s v="2023-11-18"/>
    <x v="0"/>
    <x v="1"/>
    <x v="2"/>
    <n v="29595"/>
    <n v="5793.62"/>
    <n v="0.19576347355972293"/>
  </r>
  <r>
    <n v="2848"/>
    <s v="2023-10-27"/>
    <x v="2"/>
    <x v="1"/>
    <x v="1"/>
    <n v="3266"/>
    <n v="392.96"/>
    <n v="0.12031843233312921"/>
  </r>
  <r>
    <n v="2849"/>
    <s v="2023-01-17"/>
    <x v="0"/>
    <x v="4"/>
    <x v="1"/>
    <n v="27997"/>
    <n v="8150.91"/>
    <n v="0.29113512162017358"/>
  </r>
  <r>
    <n v="2850"/>
    <s v="2023-08-15"/>
    <x v="3"/>
    <x v="4"/>
    <x v="1"/>
    <n v="23632"/>
    <n v="3501.54"/>
    <n v="0.14816943127962084"/>
  </r>
  <r>
    <n v="2851"/>
    <s v="2023-09-06"/>
    <x v="2"/>
    <x v="2"/>
    <x v="2"/>
    <n v="8119"/>
    <n v="2169.94"/>
    <n v="0.26726690479123044"/>
  </r>
  <r>
    <n v="2852"/>
    <s v="2023-12-25"/>
    <x v="3"/>
    <x v="5"/>
    <x v="0"/>
    <n v="14213"/>
    <n v="2325.3200000000002"/>
    <n v="0.16360515021459229"/>
  </r>
  <r>
    <n v="2853"/>
    <s v="2023-10-31"/>
    <x v="2"/>
    <x v="0"/>
    <x v="2"/>
    <n v="1928"/>
    <n v="442.98"/>
    <n v="0.22976141078838175"/>
  </r>
  <r>
    <n v="2854"/>
    <s v="2023-06-10"/>
    <x v="3"/>
    <x v="4"/>
    <x v="1"/>
    <n v="17391"/>
    <n v="4852.04"/>
    <n v="0.27899718245069288"/>
  </r>
  <r>
    <n v="2855"/>
    <s v="2023-10-18"/>
    <x v="3"/>
    <x v="1"/>
    <x v="1"/>
    <n v="12994"/>
    <n v="1421.67"/>
    <n v="0.10940972756656919"/>
  </r>
  <r>
    <n v="2856"/>
    <s v="2023-11-30"/>
    <x v="1"/>
    <x v="1"/>
    <x v="2"/>
    <n v="11369"/>
    <n v="1809.63"/>
    <n v="0.15917231066936408"/>
  </r>
  <r>
    <n v="2857"/>
    <s v="2024-02-07"/>
    <x v="1"/>
    <x v="5"/>
    <x v="2"/>
    <n v="13162"/>
    <n v="2902.43"/>
    <n v="0.22051587904573772"/>
  </r>
  <r>
    <n v="2858"/>
    <s v="2023-05-07"/>
    <x v="1"/>
    <x v="1"/>
    <x v="2"/>
    <n v="24946"/>
    <n v="5072.83"/>
    <n v="0.20335244127315"/>
  </r>
  <r>
    <n v="2859"/>
    <s v="2024-01-08"/>
    <x v="2"/>
    <x v="1"/>
    <x v="0"/>
    <n v="24028"/>
    <n v="6351.29"/>
    <n v="0.26432869985017482"/>
  </r>
  <r>
    <n v="2860"/>
    <s v="2024-01-15"/>
    <x v="0"/>
    <x v="3"/>
    <x v="0"/>
    <n v="23320"/>
    <n v="5170.2299999999996"/>
    <n v="0.22170797598627787"/>
  </r>
  <r>
    <n v="2861"/>
    <s v="2023-03-18"/>
    <x v="0"/>
    <x v="3"/>
    <x v="0"/>
    <n v="24660"/>
    <n v="5537.21"/>
    <n v="0.22454217356042175"/>
  </r>
  <r>
    <n v="2862"/>
    <s v="2023-09-19"/>
    <x v="1"/>
    <x v="5"/>
    <x v="0"/>
    <n v="14861"/>
    <n v="3661.64"/>
    <n v="0.24639257115941052"/>
  </r>
  <r>
    <n v="2863"/>
    <s v="2023-07-25"/>
    <x v="3"/>
    <x v="0"/>
    <x v="2"/>
    <n v="23511"/>
    <n v="2861.04"/>
    <n v="0.12168942197269363"/>
  </r>
  <r>
    <n v="2864"/>
    <s v="2023-10-15"/>
    <x v="3"/>
    <x v="1"/>
    <x v="2"/>
    <n v="29137"/>
    <n v="8493.59"/>
    <n v="0.29150530253629409"/>
  </r>
  <r>
    <n v="2865"/>
    <s v="2023-08-24"/>
    <x v="3"/>
    <x v="3"/>
    <x v="0"/>
    <n v="19052"/>
    <n v="1661.51"/>
    <n v="8.7209216880117568E-2"/>
  </r>
  <r>
    <n v="2866"/>
    <s v="2023-08-21"/>
    <x v="2"/>
    <x v="5"/>
    <x v="0"/>
    <n v="5190"/>
    <n v="822.97"/>
    <n v="0.15856840077071291"/>
  </r>
  <r>
    <n v="2867"/>
    <s v="2023-05-29"/>
    <x v="3"/>
    <x v="3"/>
    <x v="2"/>
    <n v="17278"/>
    <n v="4942.12"/>
    <n v="0.2860354207662924"/>
  </r>
  <r>
    <n v="2868"/>
    <s v="2023-10-29"/>
    <x v="1"/>
    <x v="5"/>
    <x v="1"/>
    <n v="14078"/>
    <n v="4086.01"/>
    <n v="0.29024080125017759"/>
  </r>
  <r>
    <n v="2869"/>
    <s v="2023-08-11"/>
    <x v="2"/>
    <x v="3"/>
    <x v="2"/>
    <n v="1077"/>
    <n v="208.09"/>
    <n v="0.19321262766945219"/>
  </r>
  <r>
    <n v="2870"/>
    <s v="2024-01-05"/>
    <x v="1"/>
    <x v="1"/>
    <x v="2"/>
    <n v="26878"/>
    <n v="6568.39"/>
    <n v="0.24437792990549892"/>
  </r>
  <r>
    <n v="2871"/>
    <s v="2023-02-17"/>
    <x v="3"/>
    <x v="4"/>
    <x v="0"/>
    <n v="7861"/>
    <n v="1714.39"/>
    <n v="0.21808802951278464"/>
  </r>
  <r>
    <n v="2872"/>
    <s v="2023-04-18"/>
    <x v="2"/>
    <x v="5"/>
    <x v="2"/>
    <n v="23106"/>
    <n v="5298.64"/>
    <n v="0.22931879165584698"/>
  </r>
  <r>
    <n v="2873"/>
    <s v="2023-10-21"/>
    <x v="3"/>
    <x v="3"/>
    <x v="1"/>
    <n v="20597"/>
    <n v="1787.42"/>
    <n v="8.6780599116376173E-2"/>
  </r>
  <r>
    <n v="2874"/>
    <s v="2023-11-18"/>
    <x v="3"/>
    <x v="2"/>
    <x v="1"/>
    <n v="6985"/>
    <n v="1414.39"/>
    <n v="0.20248962061560488"/>
  </r>
  <r>
    <n v="2875"/>
    <s v="2023-01-27"/>
    <x v="3"/>
    <x v="4"/>
    <x v="2"/>
    <n v="27744"/>
    <n v="6013.5"/>
    <n v="0.21674956747404844"/>
  </r>
  <r>
    <n v="2876"/>
    <s v="2023-06-13"/>
    <x v="2"/>
    <x v="3"/>
    <x v="0"/>
    <n v="22469"/>
    <n v="4183.25"/>
    <n v="0.18617873514620142"/>
  </r>
  <r>
    <n v="2877"/>
    <s v="2023-12-14"/>
    <x v="2"/>
    <x v="0"/>
    <x v="2"/>
    <n v="10466"/>
    <n v="1246.8499999999999"/>
    <n v="0.11913338429199311"/>
  </r>
  <r>
    <n v="2878"/>
    <s v="2024-01-10"/>
    <x v="1"/>
    <x v="3"/>
    <x v="1"/>
    <n v="22311"/>
    <n v="6236.66"/>
    <n v="0.27953296580162251"/>
  </r>
  <r>
    <n v="2879"/>
    <s v="2023-08-05"/>
    <x v="0"/>
    <x v="1"/>
    <x v="0"/>
    <n v="27253"/>
    <n v="3410.31"/>
    <n v="0.12513521447180126"/>
  </r>
  <r>
    <n v="2880"/>
    <s v="2023-04-28"/>
    <x v="0"/>
    <x v="4"/>
    <x v="0"/>
    <n v="27035"/>
    <n v="6176.28"/>
    <n v="0.22845496578509339"/>
  </r>
  <r>
    <n v="2881"/>
    <s v="2023-04-18"/>
    <x v="0"/>
    <x v="3"/>
    <x v="0"/>
    <n v="1566"/>
    <n v="353.34"/>
    <n v="0.22563218390804596"/>
  </r>
  <r>
    <n v="2882"/>
    <s v="2023-07-06"/>
    <x v="2"/>
    <x v="2"/>
    <x v="0"/>
    <n v="4776"/>
    <n v="1333.21"/>
    <n v="0.27914782244556113"/>
  </r>
  <r>
    <n v="2883"/>
    <s v="2024-01-01"/>
    <x v="2"/>
    <x v="4"/>
    <x v="2"/>
    <n v="27158"/>
    <n v="6152.76"/>
    <n v="0.22655423816186759"/>
  </r>
  <r>
    <n v="2884"/>
    <s v="2023-03-05"/>
    <x v="0"/>
    <x v="5"/>
    <x v="2"/>
    <n v="16310"/>
    <n v="1873.04"/>
    <n v="0.11483997547516861"/>
  </r>
  <r>
    <n v="2885"/>
    <s v="2023-02-26"/>
    <x v="1"/>
    <x v="2"/>
    <x v="0"/>
    <n v="15856"/>
    <n v="3829.84"/>
    <n v="0.2415388496468214"/>
  </r>
  <r>
    <n v="2886"/>
    <s v="2023-05-29"/>
    <x v="1"/>
    <x v="2"/>
    <x v="0"/>
    <n v="7474"/>
    <n v="1791.68"/>
    <n v="0.23972170189991973"/>
  </r>
  <r>
    <n v="2887"/>
    <s v="2023-05-31"/>
    <x v="0"/>
    <x v="4"/>
    <x v="1"/>
    <n v="4895"/>
    <n v="1183.3800000000001"/>
    <n v="0.24175280898876406"/>
  </r>
  <r>
    <n v="2888"/>
    <s v="2023-02-28"/>
    <x v="0"/>
    <x v="3"/>
    <x v="1"/>
    <n v="12102"/>
    <n v="2391.36"/>
    <n v="0.19760039662865644"/>
  </r>
  <r>
    <n v="2889"/>
    <s v="2023-01-30"/>
    <x v="1"/>
    <x v="4"/>
    <x v="0"/>
    <n v="18606"/>
    <n v="5417.53"/>
    <n v="0.29117112759324948"/>
  </r>
  <r>
    <n v="2890"/>
    <s v="2023-09-10"/>
    <x v="2"/>
    <x v="2"/>
    <x v="0"/>
    <n v="12946"/>
    <n v="3373.7"/>
    <n v="0.26059786806735669"/>
  </r>
  <r>
    <n v="2891"/>
    <s v="2023-03-11"/>
    <x v="0"/>
    <x v="2"/>
    <x v="0"/>
    <n v="20265"/>
    <n v="6027.81"/>
    <n v="0.29744929681717247"/>
  </r>
  <r>
    <n v="2892"/>
    <s v="2023-02-03"/>
    <x v="0"/>
    <x v="3"/>
    <x v="2"/>
    <n v="10344"/>
    <n v="2897.16"/>
    <n v="0.28008120649651969"/>
  </r>
  <r>
    <n v="2893"/>
    <s v="2023-10-10"/>
    <x v="1"/>
    <x v="2"/>
    <x v="1"/>
    <n v="11427"/>
    <n v="2588.39"/>
    <n v="0.22651527084974182"/>
  </r>
  <r>
    <n v="2894"/>
    <s v="2023-06-30"/>
    <x v="1"/>
    <x v="3"/>
    <x v="0"/>
    <n v="26588"/>
    <n v="2761.2"/>
    <n v="0.10385136151647359"/>
  </r>
  <r>
    <n v="2895"/>
    <s v="2023-09-09"/>
    <x v="1"/>
    <x v="3"/>
    <x v="0"/>
    <n v="10054"/>
    <n v="2912.5"/>
    <n v="0.28968569723493137"/>
  </r>
  <r>
    <n v="2896"/>
    <s v="2023-12-20"/>
    <x v="0"/>
    <x v="3"/>
    <x v="0"/>
    <n v="18624"/>
    <n v="2348.85"/>
    <n v="0.12611952319587627"/>
  </r>
  <r>
    <n v="2897"/>
    <s v="2023-07-04"/>
    <x v="1"/>
    <x v="3"/>
    <x v="2"/>
    <n v="13029"/>
    <n v="2212.85"/>
    <n v="0.1698403561286361"/>
  </r>
  <r>
    <n v="2898"/>
    <s v="2023-01-09"/>
    <x v="0"/>
    <x v="0"/>
    <x v="0"/>
    <n v="11301"/>
    <n v="1858.2"/>
    <n v="0.16442792673214759"/>
  </r>
  <r>
    <n v="2899"/>
    <s v="2023-10-13"/>
    <x v="1"/>
    <x v="5"/>
    <x v="1"/>
    <n v="2521"/>
    <n v="447.96"/>
    <n v="0.17769139230464101"/>
  </r>
  <r>
    <n v="2900"/>
    <s v="2023-05-27"/>
    <x v="0"/>
    <x v="3"/>
    <x v="2"/>
    <n v="6528"/>
    <n v="1549.06"/>
    <n v="0.23729473039215684"/>
  </r>
  <r>
    <n v="2901"/>
    <s v="2023-02-08"/>
    <x v="1"/>
    <x v="4"/>
    <x v="2"/>
    <n v="3016"/>
    <n v="303.04000000000002"/>
    <n v="0.10047745358090186"/>
  </r>
  <r>
    <n v="2902"/>
    <s v="2023-01-16"/>
    <x v="2"/>
    <x v="3"/>
    <x v="2"/>
    <n v="14364"/>
    <n v="1673.55"/>
    <n v="0.11651002506265663"/>
  </r>
  <r>
    <n v="2903"/>
    <s v="2023-02-08"/>
    <x v="3"/>
    <x v="4"/>
    <x v="2"/>
    <n v="29683"/>
    <n v="8087.43"/>
    <n v="0.27245999393592291"/>
  </r>
  <r>
    <n v="2904"/>
    <s v="2023-02-20"/>
    <x v="2"/>
    <x v="3"/>
    <x v="2"/>
    <n v="16265"/>
    <n v="2150.19"/>
    <n v="0.13219735628650478"/>
  </r>
  <r>
    <n v="2905"/>
    <s v="2023-06-10"/>
    <x v="2"/>
    <x v="5"/>
    <x v="0"/>
    <n v="9968"/>
    <n v="2280.16"/>
    <n v="0.22874799357945425"/>
  </r>
  <r>
    <n v="2906"/>
    <s v="2023-06-08"/>
    <x v="3"/>
    <x v="5"/>
    <x v="0"/>
    <n v="2224"/>
    <n v="450.45"/>
    <n v="0.20254046762589928"/>
  </r>
  <r>
    <n v="2907"/>
    <s v="2023-10-05"/>
    <x v="0"/>
    <x v="2"/>
    <x v="0"/>
    <n v="5015"/>
    <n v="1166.42"/>
    <n v="0.2325862412761715"/>
  </r>
  <r>
    <n v="2908"/>
    <s v="2024-02-01"/>
    <x v="0"/>
    <x v="0"/>
    <x v="2"/>
    <n v="10560"/>
    <n v="2923.93"/>
    <n v="0.27688731060606059"/>
  </r>
  <r>
    <n v="2909"/>
    <s v="2024-03-12"/>
    <x v="1"/>
    <x v="2"/>
    <x v="0"/>
    <n v="21303"/>
    <n v="4189.93"/>
    <n v="0.19668262686006668"/>
  </r>
  <r>
    <n v="2910"/>
    <s v="2023-10-20"/>
    <x v="3"/>
    <x v="5"/>
    <x v="1"/>
    <n v="3577"/>
    <n v="726.68"/>
    <n v="0.2031534805703103"/>
  </r>
  <r>
    <n v="2911"/>
    <s v="2024-02-16"/>
    <x v="0"/>
    <x v="1"/>
    <x v="0"/>
    <n v="26819"/>
    <n v="7379.3"/>
    <n v="0.27515194451694697"/>
  </r>
  <r>
    <n v="2912"/>
    <s v="2023-05-10"/>
    <x v="1"/>
    <x v="2"/>
    <x v="2"/>
    <n v="12144"/>
    <n v="1042.81"/>
    <n v="8.5870388669301703E-2"/>
  </r>
  <r>
    <n v="2913"/>
    <s v="2023-08-16"/>
    <x v="1"/>
    <x v="1"/>
    <x v="2"/>
    <n v="21797"/>
    <n v="3161.8"/>
    <n v="0.14505665917328073"/>
  </r>
  <r>
    <n v="2914"/>
    <s v="2023-06-05"/>
    <x v="1"/>
    <x v="1"/>
    <x v="1"/>
    <n v="10394"/>
    <n v="1113.24"/>
    <n v="0.10710409851837599"/>
  </r>
  <r>
    <n v="2915"/>
    <s v="2023-10-08"/>
    <x v="0"/>
    <x v="1"/>
    <x v="2"/>
    <n v="13585"/>
    <n v="2077.38"/>
    <n v="0.15291718807508281"/>
  </r>
  <r>
    <n v="2916"/>
    <s v="2024-02-22"/>
    <x v="0"/>
    <x v="4"/>
    <x v="1"/>
    <n v="20368"/>
    <n v="2762.76"/>
    <n v="0.13564218381775334"/>
  </r>
  <r>
    <n v="2917"/>
    <s v="2024-01-01"/>
    <x v="2"/>
    <x v="5"/>
    <x v="0"/>
    <n v="23255"/>
    <n v="6438.73"/>
    <n v="0.27687508062782196"/>
  </r>
  <r>
    <n v="2918"/>
    <s v="2023-08-05"/>
    <x v="3"/>
    <x v="0"/>
    <x v="2"/>
    <n v="20644"/>
    <n v="6057.33"/>
    <n v="0.2934184266614997"/>
  </r>
  <r>
    <n v="2919"/>
    <s v="2023-11-04"/>
    <x v="2"/>
    <x v="1"/>
    <x v="0"/>
    <n v="16222"/>
    <n v="2057.4899999999998"/>
    <n v="0.12683331278510662"/>
  </r>
  <r>
    <n v="2920"/>
    <s v="2023-09-27"/>
    <x v="1"/>
    <x v="0"/>
    <x v="2"/>
    <n v="26431"/>
    <n v="2912.11"/>
    <n v="0.11017782149748402"/>
  </r>
  <r>
    <n v="2921"/>
    <s v="2023-12-05"/>
    <x v="3"/>
    <x v="5"/>
    <x v="1"/>
    <n v="22417"/>
    <n v="5818.84"/>
    <n v="0.25957264575991434"/>
  </r>
  <r>
    <n v="2922"/>
    <s v="2024-01-19"/>
    <x v="0"/>
    <x v="2"/>
    <x v="2"/>
    <n v="28842"/>
    <n v="6967.58"/>
    <n v="0.24157756050204562"/>
  </r>
  <r>
    <n v="2923"/>
    <s v="2023-10-27"/>
    <x v="2"/>
    <x v="0"/>
    <x v="1"/>
    <n v="21892"/>
    <n v="3471.13"/>
    <n v="0.15855700712589074"/>
  </r>
  <r>
    <n v="2924"/>
    <s v="2023-04-23"/>
    <x v="1"/>
    <x v="1"/>
    <x v="2"/>
    <n v="9213"/>
    <n v="1996.77"/>
    <n v="0.21673396287854119"/>
  </r>
  <r>
    <n v="2925"/>
    <s v="2024-01-13"/>
    <x v="2"/>
    <x v="3"/>
    <x v="1"/>
    <n v="8302"/>
    <n v="1049.1300000000001"/>
    <n v="0.12637075403517226"/>
  </r>
  <r>
    <n v="2926"/>
    <s v="2023-03-10"/>
    <x v="0"/>
    <x v="4"/>
    <x v="2"/>
    <n v="23663"/>
    <n v="3938.04"/>
    <n v="0.16642184000338081"/>
  </r>
  <r>
    <n v="2927"/>
    <s v="2024-03-09"/>
    <x v="0"/>
    <x v="5"/>
    <x v="0"/>
    <n v="26745"/>
    <n v="6226.19"/>
    <n v="0.23279828005234621"/>
  </r>
  <r>
    <n v="2928"/>
    <s v="2023-09-04"/>
    <x v="1"/>
    <x v="5"/>
    <x v="1"/>
    <n v="5341"/>
    <n v="800.12"/>
    <n v="0.14980715221868565"/>
  </r>
  <r>
    <n v="2929"/>
    <s v="2023-06-22"/>
    <x v="2"/>
    <x v="0"/>
    <x v="2"/>
    <n v="19559"/>
    <n v="5855.77"/>
    <n v="0.2993900506160847"/>
  </r>
  <r>
    <n v="2930"/>
    <s v="2023-01-12"/>
    <x v="0"/>
    <x v="0"/>
    <x v="0"/>
    <n v="21521"/>
    <n v="3051.24"/>
    <n v="0.14177965707913201"/>
  </r>
  <r>
    <n v="2931"/>
    <s v="2023-07-14"/>
    <x v="2"/>
    <x v="4"/>
    <x v="0"/>
    <n v="8259"/>
    <n v="1017.28"/>
    <n v="0.12317229688824312"/>
  </r>
  <r>
    <n v="2932"/>
    <s v="2024-02-09"/>
    <x v="0"/>
    <x v="1"/>
    <x v="1"/>
    <n v="12215"/>
    <n v="2971.24"/>
    <n v="0.2432451903397462"/>
  </r>
  <r>
    <n v="2933"/>
    <s v="2023-01-27"/>
    <x v="3"/>
    <x v="4"/>
    <x v="0"/>
    <n v="25659"/>
    <n v="4769.5"/>
    <n v="0.18588019798121516"/>
  </r>
  <r>
    <n v="2934"/>
    <s v="2024-01-28"/>
    <x v="2"/>
    <x v="3"/>
    <x v="2"/>
    <n v="29770"/>
    <n v="6586.99"/>
    <n v="0.22126268055089016"/>
  </r>
  <r>
    <n v="2935"/>
    <s v="2023-05-18"/>
    <x v="0"/>
    <x v="2"/>
    <x v="1"/>
    <n v="17031"/>
    <n v="3268.17"/>
    <n v="0.19189536727144618"/>
  </r>
  <r>
    <n v="2936"/>
    <s v="2024-03-10"/>
    <x v="2"/>
    <x v="3"/>
    <x v="1"/>
    <n v="23138"/>
    <n v="5208.3900000000003"/>
    <n v="0.22510113233641629"/>
  </r>
  <r>
    <n v="2937"/>
    <s v="2023-12-19"/>
    <x v="0"/>
    <x v="0"/>
    <x v="0"/>
    <n v="22734"/>
    <n v="2565.8000000000002"/>
    <n v="0.11286179290929886"/>
  </r>
  <r>
    <n v="2938"/>
    <s v="2023-01-08"/>
    <x v="2"/>
    <x v="4"/>
    <x v="2"/>
    <n v="15071"/>
    <n v="1680.85"/>
    <n v="0.11152876385110476"/>
  </r>
  <r>
    <n v="2939"/>
    <s v="2023-11-26"/>
    <x v="2"/>
    <x v="2"/>
    <x v="2"/>
    <n v="20953"/>
    <n v="5254.79"/>
    <n v="0.25078938576814774"/>
  </r>
  <r>
    <n v="2940"/>
    <s v="2023-05-30"/>
    <x v="0"/>
    <x v="3"/>
    <x v="0"/>
    <n v="27648"/>
    <n v="7561.2"/>
    <n v="0.27348090277777776"/>
  </r>
  <r>
    <n v="2941"/>
    <s v="2023-04-17"/>
    <x v="1"/>
    <x v="3"/>
    <x v="0"/>
    <n v="4464"/>
    <n v="1317.26"/>
    <n v="0.29508512544802867"/>
  </r>
  <r>
    <n v="2942"/>
    <s v="2023-07-11"/>
    <x v="1"/>
    <x v="4"/>
    <x v="1"/>
    <n v="9954"/>
    <n v="2453.11"/>
    <n v="0.24644464536869601"/>
  </r>
  <r>
    <n v="2943"/>
    <s v="2023-08-04"/>
    <x v="0"/>
    <x v="1"/>
    <x v="2"/>
    <n v="9872"/>
    <n v="2920.01"/>
    <n v="0.29578707455429498"/>
  </r>
  <r>
    <n v="2944"/>
    <s v="2024-01-16"/>
    <x v="0"/>
    <x v="2"/>
    <x v="0"/>
    <n v="29067"/>
    <n v="8184.62"/>
    <n v="0.28157773420029586"/>
  </r>
  <r>
    <n v="2945"/>
    <s v="2024-03-09"/>
    <x v="0"/>
    <x v="0"/>
    <x v="1"/>
    <n v="24623"/>
    <n v="4843.54"/>
    <n v="0.1967079559761199"/>
  </r>
  <r>
    <n v="2946"/>
    <s v="2023-08-26"/>
    <x v="0"/>
    <x v="3"/>
    <x v="1"/>
    <n v="22298"/>
    <n v="5656.59"/>
    <n v="0.25368149609830476"/>
  </r>
  <r>
    <n v="2947"/>
    <s v="2024-03-06"/>
    <x v="1"/>
    <x v="1"/>
    <x v="0"/>
    <n v="19452"/>
    <n v="5028.5200000000004"/>
    <n v="0.25850915073000208"/>
  </r>
  <r>
    <n v="2948"/>
    <s v="2023-09-28"/>
    <x v="0"/>
    <x v="3"/>
    <x v="0"/>
    <n v="20933"/>
    <n v="1878.98"/>
    <n v="8.9761620407968284E-2"/>
  </r>
  <r>
    <n v="2949"/>
    <s v="2024-02-10"/>
    <x v="3"/>
    <x v="3"/>
    <x v="1"/>
    <n v="18233"/>
    <n v="5028.74"/>
    <n v="0.27580431086491525"/>
  </r>
  <r>
    <n v="2950"/>
    <s v="2023-04-05"/>
    <x v="1"/>
    <x v="4"/>
    <x v="2"/>
    <n v="24078"/>
    <n v="4083.54"/>
    <n v="0.16959631198604536"/>
  </r>
  <r>
    <n v="2951"/>
    <s v="2023-10-22"/>
    <x v="1"/>
    <x v="1"/>
    <x v="0"/>
    <n v="26080"/>
    <n v="5050.54"/>
    <n v="0.19365567484662577"/>
  </r>
  <r>
    <n v="2952"/>
    <s v="2023-02-13"/>
    <x v="1"/>
    <x v="1"/>
    <x v="2"/>
    <n v="19883"/>
    <n v="2051.58"/>
    <n v="0.10318261831715536"/>
  </r>
  <r>
    <n v="2953"/>
    <s v="2023-02-04"/>
    <x v="2"/>
    <x v="0"/>
    <x v="0"/>
    <n v="27286"/>
    <n v="6208.06"/>
    <n v="0.22751814117129665"/>
  </r>
  <r>
    <n v="2954"/>
    <s v="2023-02-20"/>
    <x v="0"/>
    <x v="2"/>
    <x v="2"/>
    <n v="26562"/>
    <n v="4564.78"/>
    <n v="0.17185377607107896"/>
  </r>
  <r>
    <n v="2955"/>
    <s v="2024-02-22"/>
    <x v="3"/>
    <x v="0"/>
    <x v="0"/>
    <n v="7726"/>
    <n v="1837.85"/>
    <n v="0.2378785917680559"/>
  </r>
  <r>
    <n v="2956"/>
    <s v="2023-12-14"/>
    <x v="3"/>
    <x v="5"/>
    <x v="0"/>
    <n v="17029"/>
    <n v="1767.58"/>
    <n v="0.10379822655470081"/>
  </r>
  <r>
    <n v="2957"/>
    <s v="2023-01-10"/>
    <x v="3"/>
    <x v="3"/>
    <x v="2"/>
    <n v="17116"/>
    <n v="4746.1099999999997"/>
    <n v="0.27729083898107032"/>
  </r>
  <r>
    <n v="2958"/>
    <s v="2024-01-21"/>
    <x v="0"/>
    <x v="1"/>
    <x v="2"/>
    <n v="8033"/>
    <n v="1685.74"/>
    <n v="0.20985186107307358"/>
  </r>
  <r>
    <n v="2959"/>
    <s v="2023-08-14"/>
    <x v="2"/>
    <x v="3"/>
    <x v="2"/>
    <n v="19731"/>
    <n v="5321.27"/>
    <n v="0.26969084182251279"/>
  </r>
  <r>
    <n v="2960"/>
    <s v="2023-12-27"/>
    <x v="2"/>
    <x v="4"/>
    <x v="1"/>
    <n v="28767"/>
    <n v="4747.12"/>
    <n v="0.16501964056036431"/>
  </r>
  <r>
    <n v="2961"/>
    <s v="2023-11-19"/>
    <x v="3"/>
    <x v="2"/>
    <x v="1"/>
    <n v="27846"/>
    <n v="4481.93"/>
    <n v="0.16095417654241184"/>
  </r>
  <r>
    <n v="2962"/>
    <s v="2023-10-29"/>
    <x v="2"/>
    <x v="0"/>
    <x v="0"/>
    <n v="24451"/>
    <n v="2943.29"/>
    <n v="0.12037503578585743"/>
  </r>
  <r>
    <n v="2963"/>
    <s v="2023-09-18"/>
    <x v="1"/>
    <x v="3"/>
    <x v="2"/>
    <n v="10516"/>
    <n v="2344.29"/>
    <n v="0.22292601749714719"/>
  </r>
  <r>
    <n v="2964"/>
    <s v="2023-06-20"/>
    <x v="2"/>
    <x v="0"/>
    <x v="1"/>
    <n v="19682"/>
    <n v="5782.15"/>
    <n v="0.29377857941266128"/>
  </r>
  <r>
    <n v="2965"/>
    <s v="2023-08-04"/>
    <x v="3"/>
    <x v="5"/>
    <x v="1"/>
    <n v="2044"/>
    <n v="201.71"/>
    <n v="9.8683953033268101E-2"/>
  </r>
  <r>
    <n v="2966"/>
    <s v="2023-01-28"/>
    <x v="2"/>
    <x v="2"/>
    <x v="0"/>
    <n v="7530"/>
    <n v="1013.85"/>
    <n v="0.13464143426294822"/>
  </r>
  <r>
    <n v="2967"/>
    <s v="2023-01-28"/>
    <x v="0"/>
    <x v="4"/>
    <x v="2"/>
    <n v="21004"/>
    <n v="4309.42"/>
    <n v="0.2051713959245858"/>
  </r>
  <r>
    <n v="2968"/>
    <s v="2023-05-11"/>
    <x v="2"/>
    <x v="5"/>
    <x v="2"/>
    <n v="15269"/>
    <n v="4162.57"/>
    <n v="0.27261575741698862"/>
  </r>
  <r>
    <n v="2969"/>
    <s v="2023-07-01"/>
    <x v="1"/>
    <x v="0"/>
    <x v="1"/>
    <n v="7987"/>
    <n v="820.84"/>
    <n v="0.1027720045073244"/>
  </r>
  <r>
    <n v="2970"/>
    <s v="2023-11-15"/>
    <x v="0"/>
    <x v="4"/>
    <x v="1"/>
    <n v="16266"/>
    <n v="3715.57"/>
    <n v="0.22842555022746835"/>
  </r>
  <r>
    <n v="2971"/>
    <s v="2023-04-30"/>
    <x v="0"/>
    <x v="3"/>
    <x v="0"/>
    <n v="29839"/>
    <n v="7551.31"/>
    <n v="0.25306846744193839"/>
  </r>
  <r>
    <n v="2972"/>
    <s v="2023-12-27"/>
    <x v="3"/>
    <x v="0"/>
    <x v="0"/>
    <n v="27900"/>
    <n v="4622.92"/>
    <n v="0.16569605734767026"/>
  </r>
  <r>
    <n v="2973"/>
    <s v="2023-10-24"/>
    <x v="1"/>
    <x v="3"/>
    <x v="1"/>
    <n v="17763"/>
    <n v="3286.62"/>
    <n v="0.18502617801047119"/>
  </r>
  <r>
    <n v="2974"/>
    <s v="2023-03-17"/>
    <x v="3"/>
    <x v="1"/>
    <x v="2"/>
    <n v="13454"/>
    <n v="1501.3"/>
    <n v="0.11158763193102422"/>
  </r>
  <r>
    <n v="2975"/>
    <s v="2024-01-19"/>
    <x v="0"/>
    <x v="1"/>
    <x v="0"/>
    <n v="2428"/>
    <n v="600.84"/>
    <n v="0.24746293245469522"/>
  </r>
  <r>
    <n v="2976"/>
    <s v="2023-11-02"/>
    <x v="2"/>
    <x v="1"/>
    <x v="2"/>
    <n v="11060"/>
    <n v="2571.37"/>
    <n v="0.23249276672694394"/>
  </r>
  <r>
    <n v="2977"/>
    <s v="2023-12-10"/>
    <x v="1"/>
    <x v="3"/>
    <x v="1"/>
    <n v="22160"/>
    <n v="6202.37"/>
    <n v="0.27989034296028881"/>
  </r>
  <r>
    <n v="2978"/>
    <s v="2023-01-10"/>
    <x v="1"/>
    <x v="5"/>
    <x v="1"/>
    <n v="18771"/>
    <n v="4761.16"/>
    <n v="0.25364445154760001"/>
  </r>
  <r>
    <n v="2979"/>
    <s v="2023-04-01"/>
    <x v="0"/>
    <x v="1"/>
    <x v="1"/>
    <n v="17766"/>
    <n v="1698.87"/>
    <n v="9.5624788922661255E-2"/>
  </r>
  <r>
    <n v="2980"/>
    <s v="2023-12-15"/>
    <x v="1"/>
    <x v="4"/>
    <x v="0"/>
    <n v="1880"/>
    <n v="454.57"/>
    <n v="0.24179255319148935"/>
  </r>
  <r>
    <n v="2981"/>
    <s v="2023-06-02"/>
    <x v="3"/>
    <x v="5"/>
    <x v="1"/>
    <n v="23574"/>
    <n v="6266.65"/>
    <n v="0.26582887927377619"/>
  </r>
  <r>
    <n v="2982"/>
    <s v="2023-03-11"/>
    <x v="2"/>
    <x v="1"/>
    <x v="2"/>
    <n v="9592"/>
    <n v="1221.55"/>
    <n v="0.12735091743119265"/>
  </r>
  <r>
    <n v="2983"/>
    <s v="2023-08-04"/>
    <x v="1"/>
    <x v="0"/>
    <x v="2"/>
    <n v="25663"/>
    <n v="4996.93"/>
    <n v="0.19471340061567238"/>
  </r>
  <r>
    <n v="2984"/>
    <s v="2024-02-22"/>
    <x v="1"/>
    <x v="5"/>
    <x v="2"/>
    <n v="9292"/>
    <n v="2532.17"/>
    <n v="0.27251076194575979"/>
  </r>
  <r>
    <n v="2985"/>
    <s v="2023-08-13"/>
    <x v="2"/>
    <x v="0"/>
    <x v="2"/>
    <n v="5973"/>
    <n v="1026.6099999999999"/>
    <n v="0.17187510463753555"/>
  </r>
  <r>
    <n v="2986"/>
    <s v="2024-02-14"/>
    <x v="3"/>
    <x v="5"/>
    <x v="2"/>
    <n v="29337"/>
    <n v="4700.03"/>
    <n v="0.16020826942086783"/>
  </r>
  <r>
    <n v="2987"/>
    <s v="2023-08-08"/>
    <x v="0"/>
    <x v="4"/>
    <x v="0"/>
    <n v="28025"/>
    <n v="4455.05"/>
    <n v="0.15896699375557538"/>
  </r>
  <r>
    <n v="2988"/>
    <s v="2023-07-31"/>
    <x v="1"/>
    <x v="3"/>
    <x v="0"/>
    <n v="20091"/>
    <n v="5070.6499999999996"/>
    <n v="0.25238415210790899"/>
  </r>
  <r>
    <n v="2989"/>
    <s v="2023-07-11"/>
    <x v="0"/>
    <x v="1"/>
    <x v="1"/>
    <n v="20275"/>
    <n v="3433.51"/>
    <n v="0.16934697903822443"/>
  </r>
  <r>
    <n v="2990"/>
    <s v="2024-02-25"/>
    <x v="2"/>
    <x v="0"/>
    <x v="0"/>
    <n v="23881"/>
    <n v="2024.85"/>
    <n v="8.47891629328755E-2"/>
  </r>
  <r>
    <n v="2991"/>
    <s v="2023-01-31"/>
    <x v="1"/>
    <x v="0"/>
    <x v="1"/>
    <n v="25832"/>
    <n v="4870.2"/>
    <n v="0.18853360173428305"/>
  </r>
  <r>
    <n v="2992"/>
    <s v="2023-11-09"/>
    <x v="1"/>
    <x v="4"/>
    <x v="0"/>
    <n v="7015"/>
    <n v="1654.64"/>
    <n v="0.23587170349251604"/>
  </r>
  <r>
    <n v="2993"/>
    <s v="2023-04-07"/>
    <x v="2"/>
    <x v="2"/>
    <x v="1"/>
    <n v="13110"/>
    <n v="1692.77"/>
    <n v="0.1291205186880244"/>
  </r>
  <r>
    <n v="2994"/>
    <s v="2023-08-10"/>
    <x v="0"/>
    <x v="2"/>
    <x v="2"/>
    <n v="24678"/>
    <n v="5697.33"/>
    <n v="0.23086676391928032"/>
  </r>
  <r>
    <n v="2995"/>
    <s v="2023-07-24"/>
    <x v="0"/>
    <x v="2"/>
    <x v="0"/>
    <n v="6400"/>
    <n v="858.57"/>
    <n v="0.13415156250000002"/>
  </r>
  <r>
    <n v="2996"/>
    <s v="2023-06-01"/>
    <x v="0"/>
    <x v="2"/>
    <x v="2"/>
    <n v="15198"/>
    <n v="4023.24"/>
    <n v="0.26472167390446111"/>
  </r>
  <r>
    <n v="2997"/>
    <s v="2024-02-26"/>
    <x v="3"/>
    <x v="5"/>
    <x v="2"/>
    <n v="10910"/>
    <n v="3099.89"/>
    <n v="0.28413290559120075"/>
  </r>
  <r>
    <n v="2998"/>
    <s v="2024-03-26"/>
    <x v="2"/>
    <x v="1"/>
    <x v="1"/>
    <n v="12485"/>
    <n v="1152.95"/>
    <n v="9.23468161794153E-2"/>
  </r>
  <r>
    <n v="2999"/>
    <s v="2024-01-21"/>
    <x v="2"/>
    <x v="2"/>
    <x v="2"/>
    <n v="1838"/>
    <n v="320.66000000000003"/>
    <n v="0.17446137105549511"/>
  </r>
  <r>
    <n v="3000"/>
    <s v="2023-10-28"/>
    <x v="0"/>
    <x v="0"/>
    <x v="1"/>
    <n v="6903"/>
    <n v="1333.37"/>
    <n v="0.1931580472258438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1C3500-FAB5-4BFC-8D0E-1B198807020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4:E11" firstHeaderRow="1" firstDataRow="1" firstDataCol="1"/>
  <pivotFields count="8">
    <pivotField showAll="0"/>
    <pivotField showAll="0"/>
    <pivotField showAll="0">
      <items count="5">
        <item x="3"/>
        <item x="0"/>
        <item x="2"/>
        <item x="1"/>
        <item t="default"/>
      </items>
    </pivotField>
    <pivotField axis="axisRow" showAll="0" sortType="descending">
      <items count="7">
        <item x="0"/>
        <item x="1"/>
        <item x="2"/>
        <item x="5"/>
        <item x="4"/>
        <item x="3"/>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dataField="1" showAll="0"/>
    <pivotField showAll="0"/>
    <pivotField numFmtId="10" showAll="0"/>
  </pivotFields>
  <rowFields count="1">
    <field x="3"/>
  </rowFields>
  <rowItems count="7">
    <i>
      <x v="2"/>
    </i>
    <i>
      <x v="1"/>
    </i>
    <i>
      <x v="4"/>
    </i>
    <i>
      <x v="3"/>
    </i>
    <i>
      <x v="5"/>
    </i>
    <i>
      <x/>
    </i>
    <i t="grand">
      <x/>
    </i>
  </rowItems>
  <colItems count="1">
    <i/>
  </colItems>
  <dataFields count="1">
    <dataField name="Sum of Sales" fld="5" baseField="0" baseItem="0"/>
  </dataFields>
  <formats count="12">
    <format dxfId="11">
      <pivotArea type="all" dataOnly="0" outline="0" fieldPosition="0"/>
    </format>
    <format dxfId="10">
      <pivotArea outline="0" collapsedLevelsAreSubtotals="1" fieldPosition="0"/>
    </format>
    <format dxfId="9">
      <pivotArea field="3" type="button" dataOnly="0" labelOnly="1" outline="0" axis="axisRow" fieldPosition="0"/>
    </format>
    <format dxfId="8">
      <pivotArea dataOnly="0" labelOnly="1" fieldPosition="0">
        <references count="1">
          <reference field="3" count="0"/>
        </references>
      </pivotArea>
    </format>
    <format dxfId="7">
      <pivotArea dataOnly="0" labelOnly="1" grandRow="1" outline="0"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3" type="button" dataOnly="0" labelOnly="1" outline="0" axis="axisRow" fieldPosition="0"/>
    </format>
    <format dxfId="2">
      <pivotArea dataOnly="0" labelOnly="1" fieldPosition="0">
        <references count="1">
          <reference field="3" count="0"/>
        </references>
      </pivotArea>
    </format>
    <format dxfId="1">
      <pivotArea dataOnly="0" labelOnly="1" grandRow="1" outline="0" fieldPosition="0"/>
    </format>
    <format dxfId="0">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7BA458-BC94-4054-BAE8-5F5C0AC6443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colHeaderCaption=" Label">
  <location ref="B25:G33" firstHeaderRow="1" firstDataRow="2" firstDataCol="1"/>
  <pivotFields count="8">
    <pivotField showAll="0"/>
    <pivotField showAll="0"/>
    <pivotField axis="axisCol" showAll="0">
      <items count="5">
        <item x="3"/>
        <item x="0"/>
        <item x="2"/>
        <item x="1"/>
        <item t="default"/>
      </items>
    </pivotField>
    <pivotField axis="axisRow" showAll="0">
      <items count="7">
        <item x="0"/>
        <item x="1"/>
        <item x="2"/>
        <item x="5"/>
        <item x="4"/>
        <item x="3"/>
        <item t="default"/>
      </items>
    </pivotField>
    <pivotField showAll="0">
      <items count="4">
        <item x="2"/>
        <item x="0"/>
        <item x="1"/>
        <item t="default"/>
      </items>
    </pivotField>
    <pivotField showAll="0"/>
    <pivotField showAll="0"/>
    <pivotField dataField="1" numFmtId="10" showAll="0"/>
  </pivotFields>
  <rowFields count="1">
    <field x="3"/>
  </rowFields>
  <rowItems count="7">
    <i>
      <x/>
    </i>
    <i>
      <x v="1"/>
    </i>
    <i>
      <x v="2"/>
    </i>
    <i>
      <x v="3"/>
    </i>
    <i>
      <x v="4"/>
    </i>
    <i>
      <x v="5"/>
    </i>
    <i t="grand">
      <x/>
    </i>
  </rowItems>
  <colFields count="1">
    <field x="2"/>
  </colFields>
  <colItems count="5">
    <i>
      <x/>
    </i>
    <i>
      <x v="1"/>
    </i>
    <i>
      <x v="2"/>
    </i>
    <i>
      <x v="3"/>
    </i>
    <i t="grand">
      <x/>
    </i>
  </colItems>
  <dataFields count="1">
    <dataField name="Profits Margin" fld="7" baseField="0" baseItem="0" numFmtId="10"/>
  </dataFields>
  <formats count="1">
    <format dxfId="12">
      <pivotArea type="all" dataOnly="0" outline="0" fieldPosition="0"/>
    </format>
  </formats>
  <chartFormats count="4">
    <chartFormat chart="10" format="8" series="1">
      <pivotArea type="data" outline="0" fieldPosition="0">
        <references count="2">
          <reference field="4294967294" count="1" selected="0">
            <x v="0"/>
          </reference>
          <reference field="2" count="1" selected="0">
            <x v="0"/>
          </reference>
        </references>
      </pivotArea>
    </chartFormat>
    <chartFormat chart="10" format="9" series="1">
      <pivotArea type="data" outline="0" fieldPosition="0">
        <references count="2">
          <reference field="4294967294" count="1" selected="0">
            <x v="0"/>
          </reference>
          <reference field="2" count="1" selected="0">
            <x v="1"/>
          </reference>
        </references>
      </pivotArea>
    </chartFormat>
    <chartFormat chart="10" format="10" series="1">
      <pivotArea type="data" outline="0" fieldPosition="0">
        <references count="2">
          <reference field="4294967294" count="1" selected="0">
            <x v="0"/>
          </reference>
          <reference field="2" count="1" selected="0">
            <x v="2"/>
          </reference>
        </references>
      </pivotArea>
    </chartFormat>
    <chartFormat chart="10" format="11"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3CCC6F-1917-4A80-B266-1BDCEC1FBC1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colHeaderCaption=" Labels">
  <location ref="B15:F21" firstHeaderRow="1" firstDataRow="2" firstDataCol="1"/>
  <pivotFields count="8">
    <pivotField showAll="0"/>
    <pivotField showAll="0"/>
    <pivotField axis="axisRow"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 showAll="0">
      <items count="7">
        <item x="0"/>
        <item x="1"/>
        <item x="2"/>
        <item x="5"/>
        <item x="4"/>
        <item x="3"/>
        <item t="default"/>
      </items>
    </pivotField>
    <pivotField axis="axisCol" showAll="0">
      <items count="4">
        <item x="2"/>
        <item x="0"/>
        <item x="1"/>
        <item t="default"/>
      </items>
    </pivotField>
    <pivotField dataField="1" showAll="0"/>
    <pivotField showAll="0"/>
    <pivotField numFmtId="10" showAll="0"/>
  </pivotFields>
  <rowFields count="1">
    <field x="2"/>
  </rowFields>
  <rowItems count="5">
    <i>
      <x v="1"/>
    </i>
    <i>
      <x v="3"/>
    </i>
    <i>
      <x/>
    </i>
    <i>
      <x v="2"/>
    </i>
    <i t="grand">
      <x/>
    </i>
  </rowItems>
  <colFields count="1">
    <field x="4"/>
  </colFields>
  <colItems count="4">
    <i>
      <x/>
    </i>
    <i>
      <x v="1"/>
    </i>
    <i>
      <x v="2"/>
    </i>
    <i t="grand">
      <x/>
    </i>
  </colItems>
  <dataFields count="1">
    <dataField name="Sum of Sales" fld="5" baseField="0" baseItem="0"/>
  </dataFields>
  <formats count="1">
    <format dxfId="13">
      <pivotArea type="all" dataOnly="0" outline="0" fieldPosition="0"/>
    </format>
  </formats>
  <chartFormats count="6">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5" format="6" series="1">
      <pivotArea type="data" outline="0" fieldPosition="0">
        <references count="2">
          <reference field="4294967294" count="1" selected="0">
            <x v="0"/>
          </reference>
          <reference field="4" count="1" selected="0">
            <x v="0"/>
          </reference>
        </references>
      </pivotArea>
    </chartFormat>
    <chartFormat chart="5" format="7" series="1">
      <pivotArea type="data" outline="0" fieldPosition="0">
        <references count="2">
          <reference field="4294967294" count="1" selected="0">
            <x v="0"/>
          </reference>
          <reference field="4" count="1" selected="0">
            <x v="1"/>
          </reference>
        </references>
      </pivotArea>
    </chartFormat>
    <chartFormat chart="5" format="8"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3761C0F-CBA2-4DB6-A5BB-A23D15B714EE}" sourceName="Region">
  <pivotTables>
    <pivotTable tabId="2" name="PivotTable1"/>
    <pivotTable tabId="2" name="PivotTable5"/>
    <pivotTable tabId="2" name="PivotTable4"/>
  </pivotTables>
  <data>
    <tabular pivotCacheId="112877220">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D8DE845-5082-4C5D-90CF-0EC4AFE99BB4}" sourceName="Category">
  <pivotTables>
    <pivotTable tabId="2" name="PivotTable1"/>
    <pivotTable tabId="2" name="PivotTable5"/>
    <pivotTable tabId="2" name="PivotTable4"/>
  </pivotTables>
  <data>
    <tabular pivotCacheId="112877220">
      <items count="6">
        <i x="0" s="1"/>
        <i x="1" s="1"/>
        <i x="2" s="1"/>
        <i x="5"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476D214-359F-493F-BE16-0A07490DE046}" sourceName="Segment">
  <pivotTables>
    <pivotTable tabId="2" name="PivotTable1"/>
    <pivotTable tabId="2" name="PivotTable5"/>
    <pivotTable tabId="2" name="PivotTable4"/>
  </pivotTables>
  <data>
    <tabular pivotCacheId="112877220">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7311FA6C-23E9-4650-9899-4DBBF3BB1C5E}" cache="Slicer_Region" caption="Region" rowHeight="234950"/>
  <slicer name="Category 1" xr10:uid="{4C3E84CE-B642-42F1-9055-5800FFEFD667}" cache="Slicer_Category" caption="Category" rowHeight="234950"/>
  <slicer name="Segment 1" xr10:uid="{CFA4C04A-A20F-44E4-8237-E7606FF73907}" cache="Slicer_Segment" caption="Seg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A38ACED-DBA9-423A-976D-B04828D88B63}" name="Table2" displayName="Table2" ref="A1:H1001" totalsRowShown="0" headerRowDxfId="25" dataDxfId="23" headerRowBorderDxfId="24" tableBorderDxfId="22">
  <autoFilter ref="A1:H1001" xr:uid="{9A38ACED-DBA9-423A-976D-B04828D88B63}"/>
  <tableColumns count="8">
    <tableColumn id="1" xr3:uid="{7547D288-F807-4AE2-B219-F37DF6F5FA3B}" name="Order ID" dataDxfId="21"/>
    <tableColumn id="2" xr3:uid="{F13CF707-CE50-4AB8-9851-7DDEA4BB62CE}" name="Order Date" dataDxfId="20"/>
    <tableColumn id="3" xr3:uid="{E4F9FD5B-8583-4FDD-A956-5F3B507662BB}" name="Region" dataDxfId="19"/>
    <tableColumn id="4" xr3:uid="{2AE5165C-A768-41BE-A186-30BCAC3BBA79}" name="Category" dataDxfId="18"/>
    <tableColumn id="5" xr3:uid="{B862830D-6B4C-4CDB-BDFD-9C0631071940}" name="Segment" dataDxfId="17"/>
    <tableColumn id="6" xr3:uid="{1B0B2DD4-B5D3-4C9C-8589-D1734182614E}" name="Sales" dataDxfId="16"/>
    <tableColumn id="7" xr3:uid="{E9099C4C-79AC-468D-A06E-6CB95F44DA01}" name="Profit" dataDxfId="15"/>
    <tableColumn id="8" xr3:uid="{84E52496-855B-4F92-92B9-4A99CC0CCF6A}" name="Profit Margin" dataDxfId="14">
      <calculatedColumnFormula>Table2[[#This Row],[Profit]]/Table2[[#This Row],[Sales]]</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1"/>
  <sheetViews>
    <sheetView tabSelected="1" workbookViewId="0">
      <pane ySplit="1" topLeftCell="A2" activePane="bottomLeft" state="frozen"/>
      <selection pane="bottomLeft" activeCell="J8" sqref="J8"/>
    </sheetView>
  </sheetViews>
  <sheetFormatPr defaultRowHeight="12" customHeight="1" x14ac:dyDescent="0.3"/>
  <cols>
    <col min="1" max="1" width="10.21875" style="13" bestFit="1" customWidth="1"/>
    <col min="2" max="2" width="12.33203125" style="14" bestFit="1" customWidth="1"/>
    <col min="3" max="3" width="9" style="13" bestFit="1" customWidth="1"/>
    <col min="4" max="4" width="10.77734375" style="13" bestFit="1" customWidth="1"/>
    <col min="5" max="5" width="11.33203125" style="13" bestFit="1" customWidth="1"/>
    <col min="6" max="6" width="12" style="15" bestFit="1" customWidth="1"/>
    <col min="7" max="7" width="11" style="15" bestFit="1" customWidth="1"/>
    <col min="8" max="8" width="14.33203125" style="13" bestFit="1" customWidth="1"/>
    <col min="9" max="16384" width="8.88671875" style="13"/>
  </cols>
  <sheetData>
    <row r="1" spans="1:8" ht="12" customHeight="1" x14ac:dyDescent="0.3">
      <c r="A1" s="10" t="s">
        <v>0</v>
      </c>
      <c r="B1" s="11" t="s">
        <v>1</v>
      </c>
      <c r="C1" s="10" t="s">
        <v>2</v>
      </c>
      <c r="D1" s="10" t="s">
        <v>3</v>
      </c>
      <c r="E1" s="10" t="s">
        <v>4</v>
      </c>
      <c r="F1" s="12" t="s">
        <v>5</v>
      </c>
      <c r="G1" s="12" t="s">
        <v>6</v>
      </c>
      <c r="H1" s="10" t="s">
        <v>417</v>
      </c>
    </row>
    <row r="2" spans="1:8" ht="12" customHeight="1" x14ac:dyDescent="0.3">
      <c r="A2" s="13">
        <v>2001</v>
      </c>
      <c r="B2" s="14" t="s">
        <v>7</v>
      </c>
      <c r="C2" s="13" t="s">
        <v>401</v>
      </c>
      <c r="D2" s="13" t="s">
        <v>405</v>
      </c>
      <c r="E2" s="13" t="s">
        <v>411</v>
      </c>
      <c r="F2" s="15">
        <v>5280</v>
      </c>
      <c r="G2" s="15">
        <v>770.05</v>
      </c>
      <c r="H2" s="15">
        <f>Table2[[#This Row],[Profit]]/Table2[[#This Row],[Sales]]</f>
        <v>0.14584280303030303</v>
      </c>
    </row>
    <row r="3" spans="1:8" ht="12" customHeight="1" x14ac:dyDescent="0.3">
      <c r="A3" s="13">
        <v>2002</v>
      </c>
      <c r="B3" s="14" t="s">
        <v>8</v>
      </c>
      <c r="C3" s="13" t="s">
        <v>402</v>
      </c>
      <c r="D3" s="13" t="s">
        <v>406</v>
      </c>
      <c r="E3" s="13" t="s">
        <v>412</v>
      </c>
      <c r="F3" s="15">
        <v>8904</v>
      </c>
      <c r="G3" s="15">
        <v>1659.17</v>
      </c>
      <c r="H3" s="15">
        <f>Table2[[#This Row],[Profit]]/Table2[[#This Row],[Sales]]</f>
        <v>0.18633984725965858</v>
      </c>
    </row>
    <row r="4" spans="1:8" ht="12" customHeight="1" x14ac:dyDescent="0.3">
      <c r="A4" s="13">
        <v>2003</v>
      </c>
      <c r="B4" s="14" t="s">
        <v>9</v>
      </c>
      <c r="C4" s="13" t="s">
        <v>403</v>
      </c>
      <c r="D4" s="13" t="s">
        <v>407</v>
      </c>
      <c r="E4" s="13" t="s">
        <v>411</v>
      </c>
      <c r="F4" s="15">
        <v>9338</v>
      </c>
      <c r="G4" s="15">
        <v>1231.8900000000001</v>
      </c>
      <c r="H4" s="15">
        <f>Table2[[#This Row],[Profit]]/Table2[[#This Row],[Sales]]</f>
        <v>0.13192225315913472</v>
      </c>
    </row>
    <row r="5" spans="1:8" ht="12" customHeight="1" x14ac:dyDescent="0.3">
      <c r="A5" s="13">
        <v>2004</v>
      </c>
      <c r="B5" s="14" t="s">
        <v>10</v>
      </c>
      <c r="C5" s="13" t="s">
        <v>402</v>
      </c>
      <c r="D5" s="13" t="s">
        <v>408</v>
      </c>
      <c r="E5" s="13" t="s">
        <v>413</v>
      </c>
      <c r="F5" s="15">
        <v>5212</v>
      </c>
      <c r="G5" s="15">
        <v>483.53</v>
      </c>
      <c r="H5" s="15">
        <f>Table2[[#This Row],[Profit]]/Table2[[#This Row],[Sales]]</f>
        <v>9.2772448196469681E-2</v>
      </c>
    </row>
    <row r="6" spans="1:8" ht="12" customHeight="1" x14ac:dyDescent="0.3">
      <c r="A6" s="13">
        <v>2005</v>
      </c>
      <c r="B6" s="14" t="s">
        <v>11</v>
      </c>
      <c r="C6" s="13" t="s">
        <v>404</v>
      </c>
      <c r="D6" s="13" t="s">
        <v>407</v>
      </c>
      <c r="E6" s="13" t="s">
        <v>413</v>
      </c>
      <c r="F6" s="15">
        <v>21360</v>
      </c>
      <c r="G6" s="15">
        <v>5490.04</v>
      </c>
      <c r="H6" s="15">
        <f>Table2[[#This Row],[Profit]]/Table2[[#This Row],[Sales]]</f>
        <v>0.25702434456928841</v>
      </c>
    </row>
    <row r="7" spans="1:8" ht="12" customHeight="1" x14ac:dyDescent="0.3">
      <c r="A7" s="13">
        <v>2006</v>
      </c>
      <c r="B7" s="14" t="s">
        <v>12</v>
      </c>
      <c r="C7" s="13" t="s">
        <v>402</v>
      </c>
      <c r="D7" s="13" t="s">
        <v>409</v>
      </c>
      <c r="E7" s="13" t="s">
        <v>412</v>
      </c>
      <c r="F7" s="15">
        <v>15190</v>
      </c>
      <c r="G7" s="15">
        <v>3708.22</v>
      </c>
      <c r="H7" s="15">
        <f>Table2[[#This Row],[Profit]]/Table2[[#This Row],[Sales]]</f>
        <v>0.24412244897959182</v>
      </c>
    </row>
    <row r="8" spans="1:8" ht="12" customHeight="1" x14ac:dyDescent="0.3">
      <c r="A8" s="13">
        <v>2007</v>
      </c>
      <c r="B8" s="14" t="s">
        <v>13</v>
      </c>
      <c r="C8" s="13" t="s">
        <v>403</v>
      </c>
      <c r="D8" s="13" t="s">
        <v>405</v>
      </c>
      <c r="E8" s="13" t="s">
        <v>412</v>
      </c>
      <c r="F8" s="15">
        <v>6753</v>
      </c>
      <c r="G8" s="15">
        <v>837.01</v>
      </c>
      <c r="H8" s="15">
        <f>Table2[[#This Row],[Profit]]/Table2[[#This Row],[Sales]]</f>
        <v>0.12394639419517252</v>
      </c>
    </row>
    <row r="9" spans="1:8" ht="12" customHeight="1" x14ac:dyDescent="0.3">
      <c r="A9" s="13">
        <v>2008</v>
      </c>
      <c r="B9" s="14" t="s">
        <v>14</v>
      </c>
      <c r="C9" s="13" t="s">
        <v>402</v>
      </c>
      <c r="D9" s="13" t="s">
        <v>409</v>
      </c>
      <c r="E9" s="13" t="s">
        <v>412</v>
      </c>
      <c r="F9" s="15">
        <v>24677</v>
      </c>
      <c r="G9" s="15">
        <v>6898.91</v>
      </c>
      <c r="H9" s="15">
        <f>Table2[[#This Row],[Profit]]/Table2[[#This Row],[Sales]]</f>
        <v>0.2795684240385784</v>
      </c>
    </row>
    <row r="10" spans="1:8" ht="12" customHeight="1" x14ac:dyDescent="0.3">
      <c r="A10" s="13">
        <v>2009</v>
      </c>
      <c r="B10" s="14" t="s">
        <v>15</v>
      </c>
      <c r="C10" s="13" t="s">
        <v>401</v>
      </c>
      <c r="D10" s="13" t="s">
        <v>409</v>
      </c>
      <c r="E10" s="13" t="s">
        <v>412</v>
      </c>
      <c r="F10" s="15">
        <v>22577</v>
      </c>
      <c r="G10" s="15">
        <v>5167.3900000000003</v>
      </c>
      <c r="H10" s="15">
        <f>Table2[[#This Row],[Profit]]/Table2[[#This Row],[Sales]]</f>
        <v>0.22887850467289722</v>
      </c>
    </row>
    <row r="11" spans="1:8" ht="12" customHeight="1" x14ac:dyDescent="0.3">
      <c r="A11" s="13">
        <v>2010</v>
      </c>
      <c r="B11" s="14" t="s">
        <v>16</v>
      </c>
      <c r="C11" s="13" t="s">
        <v>403</v>
      </c>
      <c r="D11" s="13" t="s">
        <v>410</v>
      </c>
      <c r="E11" s="13" t="s">
        <v>413</v>
      </c>
      <c r="F11" s="15">
        <v>23506</v>
      </c>
      <c r="G11" s="15">
        <v>3048.04</v>
      </c>
      <c r="H11" s="15">
        <f>Table2[[#This Row],[Profit]]/Table2[[#This Row],[Sales]]</f>
        <v>0.1296707223687569</v>
      </c>
    </row>
    <row r="12" spans="1:8" ht="12" customHeight="1" x14ac:dyDescent="0.3">
      <c r="A12" s="13">
        <v>2011</v>
      </c>
      <c r="B12" s="14" t="s">
        <v>17</v>
      </c>
      <c r="C12" s="13" t="s">
        <v>401</v>
      </c>
      <c r="D12" s="13" t="s">
        <v>408</v>
      </c>
      <c r="E12" s="13" t="s">
        <v>412</v>
      </c>
      <c r="F12" s="15">
        <v>27158</v>
      </c>
      <c r="G12" s="15">
        <v>6820.89</v>
      </c>
      <c r="H12" s="15">
        <f>Table2[[#This Row],[Profit]]/Table2[[#This Row],[Sales]]</f>
        <v>0.25115582885337656</v>
      </c>
    </row>
    <row r="13" spans="1:8" ht="12" customHeight="1" x14ac:dyDescent="0.3">
      <c r="A13" s="13">
        <v>2012</v>
      </c>
      <c r="B13" s="14" t="s">
        <v>18</v>
      </c>
      <c r="C13" s="13" t="s">
        <v>404</v>
      </c>
      <c r="D13" s="13" t="s">
        <v>409</v>
      </c>
      <c r="E13" s="13" t="s">
        <v>413</v>
      </c>
      <c r="F13" s="15">
        <v>13226</v>
      </c>
      <c r="G13" s="15">
        <v>3603.5</v>
      </c>
      <c r="H13" s="15">
        <f>Table2[[#This Row],[Profit]]/Table2[[#This Row],[Sales]]</f>
        <v>0.27245576893996676</v>
      </c>
    </row>
    <row r="14" spans="1:8" ht="12" customHeight="1" x14ac:dyDescent="0.3">
      <c r="A14" s="13">
        <v>2013</v>
      </c>
      <c r="B14" s="14" t="s">
        <v>19</v>
      </c>
      <c r="C14" s="13" t="s">
        <v>402</v>
      </c>
      <c r="D14" s="13" t="s">
        <v>405</v>
      </c>
      <c r="E14" s="13" t="s">
        <v>411</v>
      </c>
      <c r="F14" s="15">
        <v>2857</v>
      </c>
      <c r="G14" s="15">
        <v>535.58000000000004</v>
      </c>
      <c r="H14" s="15">
        <f>Table2[[#This Row],[Profit]]/Table2[[#This Row],[Sales]]</f>
        <v>0.18746237311865593</v>
      </c>
    </row>
    <row r="15" spans="1:8" ht="12" customHeight="1" x14ac:dyDescent="0.3">
      <c r="A15" s="13">
        <v>2014</v>
      </c>
      <c r="B15" s="14" t="s">
        <v>20</v>
      </c>
      <c r="C15" s="13" t="s">
        <v>404</v>
      </c>
      <c r="D15" s="13" t="s">
        <v>408</v>
      </c>
      <c r="E15" s="13" t="s">
        <v>412</v>
      </c>
      <c r="F15" s="15">
        <v>14109</v>
      </c>
      <c r="G15" s="15">
        <v>3055.72</v>
      </c>
      <c r="H15" s="15">
        <f>Table2[[#This Row],[Profit]]/Table2[[#This Row],[Sales]]</f>
        <v>0.21657948826989865</v>
      </c>
    </row>
    <row r="16" spans="1:8" ht="12" customHeight="1" x14ac:dyDescent="0.3">
      <c r="A16" s="13">
        <v>2015</v>
      </c>
      <c r="B16" s="14" t="s">
        <v>21</v>
      </c>
      <c r="C16" s="13" t="s">
        <v>402</v>
      </c>
      <c r="D16" s="13" t="s">
        <v>408</v>
      </c>
      <c r="E16" s="13" t="s">
        <v>413</v>
      </c>
      <c r="F16" s="15">
        <v>10991</v>
      </c>
      <c r="G16" s="15">
        <v>2813.26</v>
      </c>
      <c r="H16" s="15">
        <f>Table2[[#This Row],[Profit]]/Table2[[#This Row],[Sales]]</f>
        <v>0.25596033118005646</v>
      </c>
    </row>
    <row r="17" spans="1:8" ht="12" customHeight="1" x14ac:dyDescent="0.3">
      <c r="A17" s="13">
        <v>2016</v>
      </c>
      <c r="B17" s="14" t="s">
        <v>22</v>
      </c>
      <c r="C17" s="13" t="s">
        <v>404</v>
      </c>
      <c r="D17" s="13" t="s">
        <v>405</v>
      </c>
      <c r="E17" s="13" t="s">
        <v>412</v>
      </c>
      <c r="F17" s="15">
        <v>24915</v>
      </c>
      <c r="G17" s="15">
        <v>6922.34</v>
      </c>
      <c r="H17" s="15">
        <f>Table2[[#This Row],[Profit]]/Table2[[#This Row],[Sales]]</f>
        <v>0.2778382500501706</v>
      </c>
    </row>
    <row r="18" spans="1:8" ht="12" customHeight="1" x14ac:dyDescent="0.3">
      <c r="A18" s="13">
        <v>2017</v>
      </c>
      <c r="B18" s="14" t="s">
        <v>23</v>
      </c>
      <c r="C18" s="13" t="s">
        <v>404</v>
      </c>
      <c r="D18" s="13" t="s">
        <v>410</v>
      </c>
      <c r="E18" s="13" t="s">
        <v>413</v>
      </c>
      <c r="F18" s="15">
        <v>15412</v>
      </c>
      <c r="G18" s="15">
        <v>4486.8599999999997</v>
      </c>
      <c r="H18" s="15">
        <f>Table2[[#This Row],[Profit]]/Table2[[#This Row],[Sales]]</f>
        <v>0.29112769270698158</v>
      </c>
    </row>
    <row r="19" spans="1:8" ht="12" customHeight="1" x14ac:dyDescent="0.3">
      <c r="A19" s="13">
        <v>2018</v>
      </c>
      <c r="B19" s="14" t="s">
        <v>24</v>
      </c>
      <c r="C19" s="13" t="s">
        <v>404</v>
      </c>
      <c r="D19" s="13" t="s">
        <v>406</v>
      </c>
      <c r="E19" s="13" t="s">
        <v>412</v>
      </c>
      <c r="F19" s="15">
        <v>25766</v>
      </c>
      <c r="G19" s="15">
        <v>2458.96</v>
      </c>
      <c r="H19" s="15">
        <f>Table2[[#This Row],[Profit]]/Table2[[#This Row],[Sales]]</f>
        <v>9.5434293254676714E-2</v>
      </c>
    </row>
    <row r="20" spans="1:8" ht="12" customHeight="1" x14ac:dyDescent="0.3">
      <c r="A20" s="13">
        <v>2019</v>
      </c>
      <c r="B20" s="14" t="s">
        <v>25</v>
      </c>
      <c r="C20" s="13" t="s">
        <v>401</v>
      </c>
      <c r="D20" s="13" t="s">
        <v>407</v>
      </c>
      <c r="E20" s="13" t="s">
        <v>411</v>
      </c>
      <c r="F20" s="15">
        <v>17294</v>
      </c>
      <c r="G20" s="15">
        <v>4458</v>
      </c>
      <c r="H20" s="15">
        <f>Table2[[#This Row],[Profit]]/Table2[[#This Row],[Sales]]</f>
        <v>0.25777726379091015</v>
      </c>
    </row>
    <row r="21" spans="1:8" ht="12" customHeight="1" x14ac:dyDescent="0.3">
      <c r="A21" s="13">
        <v>2020</v>
      </c>
      <c r="B21" s="14" t="s">
        <v>26</v>
      </c>
      <c r="C21" s="13" t="s">
        <v>403</v>
      </c>
      <c r="D21" s="13" t="s">
        <v>410</v>
      </c>
      <c r="E21" s="13" t="s">
        <v>412</v>
      </c>
      <c r="F21" s="15">
        <v>21847</v>
      </c>
      <c r="G21" s="15">
        <v>5384.75</v>
      </c>
      <c r="H21" s="15">
        <f>Table2[[#This Row],[Profit]]/Table2[[#This Row],[Sales]]</f>
        <v>0.24647548862544055</v>
      </c>
    </row>
    <row r="22" spans="1:8" ht="12" customHeight="1" x14ac:dyDescent="0.3">
      <c r="A22" s="13">
        <v>2021</v>
      </c>
      <c r="B22" s="14" t="s">
        <v>27</v>
      </c>
      <c r="C22" s="13" t="s">
        <v>401</v>
      </c>
      <c r="D22" s="13" t="s">
        <v>405</v>
      </c>
      <c r="E22" s="13" t="s">
        <v>413</v>
      </c>
      <c r="F22" s="15">
        <v>26838</v>
      </c>
      <c r="G22" s="15">
        <v>2993.54</v>
      </c>
      <c r="H22" s="15">
        <f>Table2[[#This Row],[Profit]]/Table2[[#This Row],[Sales]]</f>
        <v>0.1115410984425069</v>
      </c>
    </row>
    <row r="23" spans="1:8" ht="12" customHeight="1" x14ac:dyDescent="0.3">
      <c r="A23" s="13">
        <v>2022</v>
      </c>
      <c r="B23" s="14" t="s">
        <v>28</v>
      </c>
      <c r="C23" s="13" t="s">
        <v>401</v>
      </c>
      <c r="D23" s="13" t="s">
        <v>405</v>
      </c>
      <c r="E23" s="13" t="s">
        <v>411</v>
      </c>
      <c r="F23" s="15">
        <v>5134</v>
      </c>
      <c r="G23" s="15">
        <v>1486.84</v>
      </c>
      <c r="H23" s="15">
        <f>Table2[[#This Row],[Profit]]/Table2[[#This Row],[Sales]]</f>
        <v>0.28960654460459678</v>
      </c>
    </row>
    <row r="24" spans="1:8" ht="12" customHeight="1" x14ac:dyDescent="0.3">
      <c r="A24" s="13">
        <v>2023</v>
      </c>
      <c r="B24" s="14" t="s">
        <v>29</v>
      </c>
      <c r="C24" s="13" t="s">
        <v>403</v>
      </c>
      <c r="D24" s="13" t="s">
        <v>410</v>
      </c>
      <c r="E24" s="13" t="s">
        <v>413</v>
      </c>
      <c r="F24" s="15">
        <v>27326</v>
      </c>
      <c r="G24" s="15">
        <v>7289.78</v>
      </c>
      <c r="H24" s="15">
        <f>Table2[[#This Row],[Profit]]/Table2[[#This Row],[Sales]]</f>
        <v>0.26677084095733</v>
      </c>
    </row>
    <row r="25" spans="1:8" ht="12" customHeight="1" x14ac:dyDescent="0.3">
      <c r="A25" s="13">
        <v>2024</v>
      </c>
      <c r="B25" s="14" t="s">
        <v>30</v>
      </c>
      <c r="C25" s="13" t="s">
        <v>404</v>
      </c>
      <c r="D25" s="13" t="s">
        <v>408</v>
      </c>
      <c r="E25" s="13" t="s">
        <v>412</v>
      </c>
      <c r="F25" s="15">
        <v>13162</v>
      </c>
      <c r="G25" s="15">
        <v>1794.42</v>
      </c>
      <c r="H25" s="15">
        <f>Table2[[#This Row],[Profit]]/Table2[[#This Row],[Sales]]</f>
        <v>0.13633338398419695</v>
      </c>
    </row>
    <row r="26" spans="1:8" ht="12" customHeight="1" x14ac:dyDescent="0.3">
      <c r="A26" s="13">
        <v>2025</v>
      </c>
      <c r="B26" s="14" t="s">
        <v>31</v>
      </c>
      <c r="C26" s="13" t="s">
        <v>401</v>
      </c>
      <c r="D26" s="13" t="s">
        <v>407</v>
      </c>
      <c r="E26" s="13" t="s">
        <v>412</v>
      </c>
      <c r="F26" s="15">
        <v>26216</v>
      </c>
      <c r="G26" s="15">
        <v>6334.03</v>
      </c>
      <c r="H26" s="15">
        <f>Table2[[#This Row],[Profit]]/Table2[[#This Row],[Sales]]</f>
        <v>0.24160932255111381</v>
      </c>
    </row>
    <row r="27" spans="1:8" ht="12" customHeight="1" x14ac:dyDescent="0.3">
      <c r="A27" s="13">
        <v>2026</v>
      </c>
      <c r="B27" s="14" t="s">
        <v>32</v>
      </c>
      <c r="C27" s="13" t="s">
        <v>402</v>
      </c>
      <c r="D27" s="13" t="s">
        <v>407</v>
      </c>
      <c r="E27" s="13" t="s">
        <v>413</v>
      </c>
      <c r="F27" s="15">
        <v>9593</v>
      </c>
      <c r="G27" s="15">
        <v>1826.31</v>
      </c>
      <c r="H27" s="15">
        <f>Table2[[#This Row],[Profit]]/Table2[[#This Row],[Sales]]</f>
        <v>0.19037944334410506</v>
      </c>
    </row>
    <row r="28" spans="1:8" ht="12" customHeight="1" x14ac:dyDescent="0.3">
      <c r="A28" s="13">
        <v>2027</v>
      </c>
      <c r="B28" s="14" t="s">
        <v>33</v>
      </c>
      <c r="C28" s="13" t="s">
        <v>402</v>
      </c>
      <c r="D28" s="13" t="s">
        <v>405</v>
      </c>
      <c r="E28" s="13" t="s">
        <v>412</v>
      </c>
      <c r="F28" s="15">
        <v>23323</v>
      </c>
      <c r="G28" s="15">
        <v>6544.96</v>
      </c>
      <c r="H28" s="15">
        <f>Table2[[#This Row],[Profit]]/Table2[[#This Row],[Sales]]</f>
        <v>0.28062256142005748</v>
      </c>
    </row>
    <row r="29" spans="1:8" ht="12" customHeight="1" x14ac:dyDescent="0.3">
      <c r="A29" s="13">
        <v>2028</v>
      </c>
      <c r="B29" s="14" t="s">
        <v>34</v>
      </c>
      <c r="C29" s="13" t="s">
        <v>401</v>
      </c>
      <c r="D29" s="13" t="s">
        <v>408</v>
      </c>
      <c r="E29" s="13" t="s">
        <v>412</v>
      </c>
      <c r="F29" s="15">
        <v>23962</v>
      </c>
      <c r="G29" s="15">
        <v>5576.47</v>
      </c>
      <c r="H29" s="15">
        <f>Table2[[#This Row],[Profit]]/Table2[[#This Row],[Sales]]</f>
        <v>0.23272139220432353</v>
      </c>
    </row>
    <row r="30" spans="1:8" ht="12" customHeight="1" x14ac:dyDescent="0.3">
      <c r="A30" s="13">
        <v>2029</v>
      </c>
      <c r="B30" s="14" t="s">
        <v>35</v>
      </c>
      <c r="C30" s="13" t="s">
        <v>402</v>
      </c>
      <c r="D30" s="13" t="s">
        <v>409</v>
      </c>
      <c r="E30" s="13" t="s">
        <v>412</v>
      </c>
      <c r="F30" s="15">
        <v>12934</v>
      </c>
      <c r="G30" s="15">
        <v>2040.15</v>
      </c>
      <c r="H30" s="15">
        <f>Table2[[#This Row],[Profit]]/Table2[[#This Row],[Sales]]</f>
        <v>0.15773542600896862</v>
      </c>
    </row>
    <row r="31" spans="1:8" ht="12" customHeight="1" x14ac:dyDescent="0.3">
      <c r="A31" s="13">
        <v>2030</v>
      </c>
      <c r="B31" s="14" t="s">
        <v>36</v>
      </c>
      <c r="C31" s="13" t="s">
        <v>404</v>
      </c>
      <c r="D31" s="13" t="s">
        <v>410</v>
      </c>
      <c r="E31" s="13" t="s">
        <v>411</v>
      </c>
      <c r="F31" s="15">
        <v>8726</v>
      </c>
      <c r="G31" s="15">
        <v>1010.09</v>
      </c>
      <c r="H31" s="15">
        <f>Table2[[#This Row],[Profit]]/Table2[[#This Row],[Sales]]</f>
        <v>0.11575636030254413</v>
      </c>
    </row>
    <row r="32" spans="1:8" ht="12" customHeight="1" x14ac:dyDescent="0.3">
      <c r="A32" s="13">
        <v>2031</v>
      </c>
      <c r="B32" s="14" t="s">
        <v>37</v>
      </c>
      <c r="C32" s="13" t="s">
        <v>404</v>
      </c>
      <c r="D32" s="13" t="s">
        <v>407</v>
      </c>
      <c r="E32" s="13" t="s">
        <v>413</v>
      </c>
      <c r="F32" s="15">
        <v>21928</v>
      </c>
      <c r="G32" s="15">
        <v>6016.97</v>
      </c>
      <c r="H32" s="15">
        <f>Table2[[#This Row],[Profit]]/Table2[[#This Row],[Sales]]</f>
        <v>0.27439666180226197</v>
      </c>
    </row>
    <row r="33" spans="1:8" ht="12" customHeight="1" x14ac:dyDescent="0.3">
      <c r="A33" s="13">
        <v>2032</v>
      </c>
      <c r="B33" s="14" t="s">
        <v>17</v>
      </c>
      <c r="C33" s="13" t="s">
        <v>402</v>
      </c>
      <c r="D33" s="13" t="s">
        <v>405</v>
      </c>
      <c r="E33" s="13" t="s">
        <v>412</v>
      </c>
      <c r="F33" s="15">
        <v>17743</v>
      </c>
      <c r="G33" s="15">
        <v>1967.78</v>
      </c>
      <c r="H33" s="15">
        <f>Table2[[#This Row],[Profit]]/Table2[[#This Row],[Sales]]</f>
        <v>0.11090458208871104</v>
      </c>
    </row>
    <row r="34" spans="1:8" ht="12" customHeight="1" x14ac:dyDescent="0.3">
      <c r="A34" s="13">
        <v>2033</v>
      </c>
      <c r="B34" s="14" t="s">
        <v>38</v>
      </c>
      <c r="C34" s="13" t="s">
        <v>402</v>
      </c>
      <c r="D34" s="13" t="s">
        <v>410</v>
      </c>
      <c r="E34" s="13" t="s">
        <v>412</v>
      </c>
      <c r="F34" s="15">
        <v>27725</v>
      </c>
      <c r="G34" s="15">
        <v>8251.4699999999993</v>
      </c>
      <c r="H34" s="15">
        <f>Table2[[#This Row],[Profit]]/Table2[[#This Row],[Sales]]</f>
        <v>0.29761839495040576</v>
      </c>
    </row>
    <row r="35" spans="1:8" ht="12" customHeight="1" x14ac:dyDescent="0.3">
      <c r="A35" s="13">
        <v>2034</v>
      </c>
      <c r="B35" s="14" t="s">
        <v>39</v>
      </c>
      <c r="C35" s="13" t="s">
        <v>401</v>
      </c>
      <c r="D35" s="13" t="s">
        <v>409</v>
      </c>
      <c r="E35" s="13" t="s">
        <v>413</v>
      </c>
      <c r="F35" s="15">
        <v>3414</v>
      </c>
      <c r="G35" s="15">
        <v>930.58</v>
      </c>
      <c r="H35" s="15">
        <f>Table2[[#This Row],[Profit]]/Table2[[#This Row],[Sales]]</f>
        <v>0.27257762155828941</v>
      </c>
    </row>
    <row r="36" spans="1:8" ht="12" customHeight="1" x14ac:dyDescent="0.3">
      <c r="A36" s="13">
        <v>2035</v>
      </c>
      <c r="B36" s="14" t="s">
        <v>14</v>
      </c>
      <c r="C36" s="13" t="s">
        <v>401</v>
      </c>
      <c r="D36" s="13" t="s">
        <v>409</v>
      </c>
      <c r="E36" s="13" t="s">
        <v>411</v>
      </c>
      <c r="F36" s="15">
        <v>10607</v>
      </c>
      <c r="G36" s="15">
        <v>2131.2199999999998</v>
      </c>
      <c r="H36" s="15">
        <f>Table2[[#This Row],[Profit]]/Table2[[#This Row],[Sales]]</f>
        <v>0.20092580371452812</v>
      </c>
    </row>
    <row r="37" spans="1:8" ht="12" customHeight="1" x14ac:dyDescent="0.3">
      <c r="A37" s="13">
        <v>2036</v>
      </c>
      <c r="B37" s="14" t="s">
        <v>40</v>
      </c>
      <c r="C37" s="13" t="s">
        <v>403</v>
      </c>
      <c r="D37" s="13" t="s">
        <v>407</v>
      </c>
      <c r="E37" s="13" t="s">
        <v>411</v>
      </c>
      <c r="F37" s="15">
        <v>16129</v>
      </c>
      <c r="G37" s="15">
        <v>2139.81</v>
      </c>
      <c r="H37" s="15">
        <f>Table2[[#This Row],[Profit]]/Table2[[#This Row],[Sales]]</f>
        <v>0.13266848533697068</v>
      </c>
    </row>
    <row r="38" spans="1:8" ht="12" customHeight="1" x14ac:dyDescent="0.3">
      <c r="A38" s="13">
        <v>2037</v>
      </c>
      <c r="B38" s="14" t="s">
        <v>41</v>
      </c>
      <c r="C38" s="13" t="s">
        <v>403</v>
      </c>
      <c r="D38" s="13" t="s">
        <v>406</v>
      </c>
      <c r="E38" s="13" t="s">
        <v>412</v>
      </c>
      <c r="F38" s="15">
        <v>29280</v>
      </c>
      <c r="G38" s="15">
        <v>7621.8</v>
      </c>
      <c r="H38" s="15">
        <f>Table2[[#This Row],[Profit]]/Table2[[#This Row],[Sales]]</f>
        <v>0.26030737704918033</v>
      </c>
    </row>
    <row r="39" spans="1:8" ht="12" customHeight="1" x14ac:dyDescent="0.3">
      <c r="A39" s="13">
        <v>2038</v>
      </c>
      <c r="B39" s="14" t="s">
        <v>42</v>
      </c>
      <c r="C39" s="13" t="s">
        <v>403</v>
      </c>
      <c r="D39" s="13" t="s">
        <v>405</v>
      </c>
      <c r="E39" s="13" t="s">
        <v>413</v>
      </c>
      <c r="F39" s="15">
        <v>27657</v>
      </c>
      <c r="G39" s="15">
        <v>2524.79</v>
      </c>
      <c r="H39" s="15">
        <f>Table2[[#This Row],[Profit]]/Table2[[#This Row],[Sales]]</f>
        <v>9.1289366164081426E-2</v>
      </c>
    </row>
    <row r="40" spans="1:8" ht="12" customHeight="1" x14ac:dyDescent="0.3">
      <c r="A40" s="13">
        <v>2039</v>
      </c>
      <c r="B40" s="14" t="s">
        <v>43</v>
      </c>
      <c r="C40" s="13" t="s">
        <v>402</v>
      </c>
      <c r="D40" s="13" t="s">
        <v>407</v>
      </c>
      <c r="E40" s="13" t="s">
        <v>412</v>
      </c>
      <c r="F40" s="15">
        <v>6305</v>
      </c>
      <c r="G40" s="15">
        <v>572.15</v>
      </c>
      <c r="H40" s="15">
        <f>Table2[[#This Row],[Profit]]/Table2[[#This Row],[Sales]]</f>
        <v>9.0745440126883417E-2</v>
      </c>
    </row>
    <row r="41" spans="1:8" ht="12" customHeight="1" x14ac:dyDescent="0.3">
      <c r="A41" s="13">
        <v>2040</v>
      </c>
      <c r="B41" s="14" t="s">
        <v>44</v>
      </c>
      <c r="C41" s="13" t="s">
        <v>401</v>
      </c>
      <c r="D41" s="13" t="s">
        <v>410</v>
      </c>
      <c r="E41" s="13" t="s">
        <v>413</v>
      </c>
      <c r="F41" s="15">
        <v>3781</v>
      </c>
      <c r="G41" s="15">
        <v>451.19</v>
      </c>
      <c r="H41" s="15">
        <f>Table2[[#This Row],[Profit]]/Table2[[#This Row],[Sales]]</f>
        <v>0.11933086485056864</v>
      </c>
    </row>
    <row r="42" spans="1:8" ht="12" customHeight="1" x14ac:dyDescent="0.3">
      <c r="A42" s="13">
        <v>2041</v>
      </c>
      <c r="B42" s="14" t="s">
        <v>45</v>
      </c>
      <c r="C42" s="13" t="s">
        <v>403</v>
      </c>
      <c r="D42" s="13" t="s">
        <v>406</v>
      </c>
      <c r="E42" s="13" t="s">
        <v>413</v>
      </c>
      <c r="F42" s="15">
        <v>18956</v>
      </c>
      <c r="G42" s="15">
        <v>2467.84</v>
      </c>
      <c r="H42" s="15">
        <f>Table2[[#This Row],[Profit]]/Table2[[#This Row],[Sales]]</f>
        <v>0.13018780333403673</v>
      </c>
    </row>
    <row r="43" spans="1:8" ht="12" customHeight="1" x14ac:dyDescent="0.3">
      <c r="A43" s="13">
        <v>2042</v>
      </c>
      <c r="B43" s="14" t="s">
        <v>46</v>
      </c>
      <c r="C43" s="13" t="s">
        <v>404</v>
      </c>
      <c r="D43" s="13" t="s">
        <v>410</v>
      </c>
      <c r="E43" s="13" t="s">
        <v>412</v>
      </c>
      <c r="F43" s="15">
        <v>10043</v>
      </c>
      <c r="G43" s="15">
        <v>2601.09</v>
      </c>
      <c r="H43" s="15">
        <f>Table2[[#This Row],[Profit]]/Table2[[#This Row],[Sales]]</f>
        <v>0.2589953201234691</v>
      </c>
    </row>
    <row r="44" spans="1:8" ht="12" customHeight="1" x14ac:dyDescent="0.3">
      <c r="A44" s="13">
        <v>2043</v>
      </c>
      <c r="B44" s="14" t="s">
        <v>47</v>
      </c>
      <c r="C44" s="13" t="s">
        <v>403</v>
      </c>
      <c r="D44" s="13" t="s">
        <v>407</v>
      </c>
      <c r="E44" s="13" t="s">
        <v>413</v>
      </c>
      <c r="F44" s="15">
        <v>4550</v>
      </c>
      <c r="G44" s="15">
        <v>1210.6400000000001</v>
      </c>
      <c r="H44" s="15">
        <f>Table2[[#This Row],[Profit]]/Table2[[#This Row],[Sales]]</f>
        <v>0.26607472527472531</v>
      </c>
    </row>
    <row r="45" spans="1:8" ht="12" customHeight="1" x14ac:dyDescent="0.3">
      <c r="A45" s="13">
        <v>2044</v>
      </c>
      <c r="B45" s="14" t="s">
        <v>48</v>
      </c>
      <c r="C45" s="13" t="s">
        <v>401</v>
      </c>
      <c r="D45" s="13" t="s">
        <v>406</v>
      </c>
      <c r="E45" s="13" t="s">
        <v>411</v>
      </c>
      <c r="F45" s="15">
        <v>1561</v>
      </c>
      <c r="G45" s="15">
        <v>262.93</v>
      </c>
      <c r="H45" s="15">
        <f>Table2[[#This Row],[Profit]]/Table2[[#This Row],[Sales]]</f>
        <v>0.1684368994234465</v>
      </c>
    </row>
    <row r="46" spans="1:8" ht="12" customHeight="1" x14ac:dyDescent="0.3">
      <c r="A46" s="13">
        <v>2045</v>
      </c>
      <c r="B46" s="14" t="s">
        <v>38</v>
      </c>
      <c r="C46" s="13" t="s">
        <v>404</v>
      </c>
      <c r="D46" s="13" t="s">
        <v>409</v>
      </c>
      <c r="E46" s="13" t="s">
        <v>411</v>
      </c>
      <c r="F46" s="15">
        <v>5814</v>
      </c>
      <c r="G46" s="15">
        <v>834.8</v>
      </c>
      <c r="H46" s="15">
        <f>Table2[[#This Row],[Profit]]/Table2[[#This Row],[Sales]]</f>
        <v>0.14358445132438941</v>
      </c>
    </row>
    <row r="47" spans="1:8" ht="12" customHeight="1" x14ac:dyDescent="0.3">
      <c r="A47" s="13">
        <v>2046</v>
      </c>
      <c r="B47" s="14" t="s">
        <v>49</v>
      </c>
      <c r="C47" s="13" t="s">
        <v>401</v>
      </c>
      <c r="D47" s="13" t="s">
        <v>405</v>
      </c>
      <c r="E47" s="13" t="s">
        <v>412</v>
      </c>
      <c r="F47" s="15">
        <v>19415</v>
      </c>
      <c r="G47" s="15">
        <v>2927.33</v>
      </c>
      <c r="H47" s="15">
        <f>Table2[[#This Row],[Profit]]/Table2[[#This Row],[Sales]]</f>
        <v>0.15077671903167653</v>
      </c>
    </row>
    <row r="48" spans="1:8" ht="12" customHeight="1" x14ac:dyDescent="0.3">
      <c r="A48" s="13">
        <v>2047</v>
      </c>
      <c r="B48" s="14" t="s">
        <v>18</v>
      </c>
      <c r="C48" s="13" t="s">
        <v>403</v>
      </c>
      <c r="D48" s="13" t="s">
        <v>405</v>
      </c>
      <c r="E48" s="13" t="s">
        <v>412</v>
      </c>
      <c r="F48" s="15">
        <v>25651</v>
      </c>
      <c r="G48" s="15">
        <v>5881.11</v>
      </c>
      <c r="H48" s="15">
        <f>Table2[[#This Row],[Profit]]/Table2[[#This Row],[Sales]]</f>
        <v>0.22927410237417642</v>
      </c>
    </row>
    <row r="49" spans="1:8" ht="12" customHeight="1" x14ac:dyDescent="0.3">
      <c r="A49" s="13">
        <v>2048</v>
      </c>
      <c r="B49" s="14" t="s">
        <v>50</v>
      </c>
      <c r="C49" s="13" t="s">
        <v>404</v>
      </c>
      <c r="D49" s="13" t="s">
        <v>408</v>
      </c>
      <c r="E49" s="13" t="s">
        <v>411</v>
      </c>
      <c r="F49" s="15">
        <v>6389</v>
      </c>
      <c r="G49" s="15">
        <v>1405.72</v>
      </c>
      <c r="H49" s="15">
        <f>Table2[[#This Row],[Profit]]/Table2[[#This Row],[Sales]]</f>
        <v>0.22002191266238849</v>
      </c>
    </row>
    <row r="50" spans="1:8" ht="12" customHeight="1" x14ac:dyDescent="0.3">
      <c r="A50" s="13">
        <v>2049</v>
      </c>
      <c r="B50" s="14" t="s">
        <v>51</v>
      </c>
      <c r="C50" s="13" t="s">
        <v>403</v>
      </c>
      <c r="D50" s="13" t="s">
        <v>407</v>
      </c>
      <c r="E50" s="13" t="s">
        <v>412</v>
      </c>
      <c r="F50" s="15">
        <v>24318</v>
      </c>
      <c r="G50" s="15">
        <v>5351.07</v>
      </c>
      <c r="H50" s="15">
        <f>Table2[[#This Row],[Profit]]/Table2[[#This Row],[Sales]]</f>
        <v>0.2200456452010856</v>
      </c>
    </row>
    <row r="51" spans="1:8" ht="12" customHeight="1" x14ac:dyDescent="0.3">
      <c r="A51" s="13">
        <v>2050</v>
      </c>
      <c r="B51" s="14" t="s">
        <v>52</v>
      </c>
      <c r="C51" s="13" t="s">
        <v>402</v>
      </c>
      <c r="D51" s="13" t="s">
        <v>410</v>
      </c>
      <c r="E51" s="13" t="s">
        <v>412</v>
      </c>
      <c r="F51" s="15">
        <v>18342</v>
      </c>
      <c r="G51" s="15">
        <v>3698.38</v>
      </c>
      <c r="H51" s="15">
        <f>Table2[[#This Row],[Profit]]/Table2[[#This Row],[Sales]]</f>
        <v>0.20163450005451969</v>
      </c>
    </row>
    <row r="52" spans="1:8" ht="12" customHeight="1" x14ac:dyDescent="0.3">
      <c r="A52" s="13">
        <v>2051</v>
      </c>
      <c r="B52" s="14" t="s">
        <v>41</v>
      </c>
      <c r="C52" s="13" t="s">
        <v>402</v>
      </c>
      <c r="D52" s="13" t="s">
        <v>407</v>
      </c>
      <c r="E52" s="13" t="s">
        <v>411</v>
      </c>
      <c r="F52" s="15">
        <v>26135</v>
      </c>
      <c r="G52" s="15">
        <v>5075.32</v>
      </c>
      <c r="H52" s="15">
        <f>Table2[[#This Row],[Profit]]/Table2[[#This Row],[Sales]]</f>
        <v>0.19419628850200879</v>
      </c>
    </row>
    <row r="53" spans="1:8" ht="12" customHeight="1" x14ac:dyDescent="0.3">
      <c r="A53" s="13">
        <v>2052</v>
      </c>
      <c r="B53" s="14" t="s">
        <v>53</v>
      </c>
      <c r="C53" s="13" t="s">
        <v>402</v>
      </c>
      <c r="D53" s="13" t="s">
        <v>405</v>
      </c>
      <c r="E53" s="13" t="s">
        <v>411</v>
      </c>
      <c r="F53" s="15">
        <v>12749</v>
      </c>
      <c r="G53" s="15">
        <v>2827.85</v>
      </c>
      <c r="H53" s="15">
        <f>Table2[[#This Row],[Profit]]/Table2[[#This Row],[Sales]]</f>
        <v>0.22180955369048552</v>
      </c>
    </row>
    <row r="54" spans="1:8" ht="12" customHeight="1" x14ac:dyDescent="0.3">
      <c r="A54" s="13">
        <v>2053</v>
      </c>
      <c r="B54" s="14" t="s">
        <v>54</v>
      </c>
      <c r="C54" s="13" t="s">
        <v>403</v>
      </c>
      <c r="D54" s="13" t="s">
        <v>409</v>
      </c>
      <c r="E54" s="13" t="s">
        <v>411</v>
      </c>
      <c r="F54" s="15">
        <v>15213</v>
      </c>
      <c r="G54" s="15">
        <v>4402.8900000000003</v>
      </c>
      <c r="H54" s="15">
        <f>Table2[[#This Row],[Profit]]/Table2[[#This Row],[Sales]]</f>
        <v>0.28941628870045361</v>
      </c>
    </row>
    <row r="55" spans="1:8" ht="12" customHeight="1" x14ac:dyDescent="0.3">
      <c r="A55" s="13">
        <v>2054</v>
      </c>
      <c r="B55" s="14" t="s">
        <v>55</v>
      </c>
      <c r="C55" s="13" t="s">
        <v>403</v>
      </c>
      <c r="D55" s="13" t="s">
        <v>408</v>
      </c>
      <c r="E55" s="13" t="s">
        <v>413</v>
      </c>
      <c r="F55" s="15">
        <v>22136</v>
      </c>
      <c r="G55" s="15">
        <v>4251.6899999999996</v>
      </c>
      <c r="H55" s="15">
        <f>Table2[[#This Row],[Profit]]/Table2[[#This Row],[Sales]]</f>
        <v>0.19207128659197686</v>
      </c>
    </row>
    <row r="56" spans="1:8" ht="12" customHeight="1" x14ac:dyDescent="0.3">
      <c r="A56" s="13">
        <v>2055</v>
      </c>
      <c r="B56" s="14" t="s">
        <v>56</v>
      </c>
      <c r="C56" s="13" t="s">
        <v>403</v>
      </c>
      <c r="D56" s="13" t="s">
        <v>406</v>
      </c>
      <c r="E56" s="13" t="s">
        <v>413</v>
      </c>
      <c r="F56" s="15">
        <v>1291</v>
      </c>
      <c r="G56" s="15">
        <v>119.66</v>
      </c>
      <c r="H56" s="15">
        <f>Table2[[#This Row],[Profit]]/Table2[[#This Row],[Sales]]</f>
        <v>9.2687838884585594E-2</v>
      </c>
    </row>
    <row r="57" spans="1:8" ht="12" customHeight="1" x14ac:dyDescent="0.3">
      <c r="A57" s="13">
        <v>2056</v>
      </c>
      <c r="B57" s="14" t="s">
        <v>57</v>
      </c>
      <c r="C57" s="13" t="s">
        <v>402</v>
      </c>
      <c r="D57" s="13" t="s">
        <v>410</v>
      </c>
      <c r="E57" s="13" t="s">
        <v>412</v>
      </c>
      <c r="F57" s="15">
        <v>1343</v>
      </c>
      <c r="G57" s="15">
        <v>367.79</v>
      </c>
      <c r="H57" s="15">
        <f>Table2[[#This Row],[Profit]]/Table2[[#This Row],[Sales]]</f>
        <v>0.27385703648548027</v>
      </c>
    </row>
    <row r="58" spans="1:8" ht="12" customHeight="1" x14ac:dyDescent="0.3">
      <c r="A58" s="13">
        <v>2057</v>
      </c>
      <c r="B58" s="14" t="s">
        <v>41</v>
      </c>
      <c r="C58" s="13" t="s">
        <v>401</v>
      </c>
      <c r="D58" s="13" t="s">
        <v>405</v>
      </c>
      <c r="E58" s="13" t="s">
        <v>412</v>
      </c>
      <c r="F58" s="15">
        <v>5095</v>
      </c>
      <c r="G58" s="15">
        <v>465.38</v>
      </c>
      <c r="H58" s="15">
        <f>Table2[[#This Row],[Profit]]/Table2[[#This Row],[Sales]]</f>
        <v>9.1340529931305203E-2</v>
      </c>
    </row>
    <row r="59" spans="1:8" ht="12" customHeight="1" x14ac:dyDescent="0.3">
      <c r="A59" s="13">
        <v>2058</v>
      </c>
      <c r="B59" s="14" t="s">
        <v>58</v>
      </c>
      <c r="C59" s="13" t="s">
        <v>404</v>
      </c>
      <c r="D59" s="13" t="s">
        <v>410</v>
      </c>
      <c r="E59" s="13" t="s">
        <v>413</v>
      </c>
      <c r="F59" s="15">
        <v>11686</v>
      </c>
      <c r="G59" s="15">
        <v>1931.6</v>
      </c>
      <c r="H59" s="15">
        <f>Table2[[#This Row],[Profit]]/Table2[[#This Row],[Sales]]</f>
        <v>0.1652918021564265</v>
      </c>
    </row>
    <row r="60" spans="1:8" ht="12" customHeight="1" x14ac:dyDescent="0.3">
      <c r="A60" s="13">
        <v>2059</v>
      </c>
      <c r="B60" s="14" t="s">
        <v>59</v>
      </c>
      <c r="C60" s="13" t="s">
        <v>403</v>
      </c>
      <c r="D60" s="13" t="s">
        <v>407</v>
      </c>
      <c r="E60" s="13" t="s">
        <v>411</v>
      </c>
      <c r="F60" s="15">
        <v>5708</v>
      </c>
      <c r="G60" s="15">
        <v>618.19000000000005</v>
      </c>
      <c r="H60" s="15">
        <f>Table2[[#This Row],[Profit]]/Table2[[#This Row],[Sales]]</f>
        <v>0.10830238262088299</v>
      </c>
    </row>
    <row r="61" spans="1:8" ht="12" customHeight="1" x14ac:dyDescent="0.3">
      <c r="A61" s="13">
        <v>2060</v>
      </c>
      <c r="B61" s="14" t="s">
        <v>60</v>
      </c>
      <c r="C61" s="13" t="s">
        <v>401</v>
      </c>
      <c r="D61" s="13" t="s">
        <v>409</v>
      </c>
      <c r="E61" s="13" t="s">
        <v>412</v>
      </c>
      <c r="F61" s="15">
        <v>18119</v>
      </c>
      <c r="G61" s="15">
        <v>3917.38</v>
      </c>
      <c r="H61" s="15">
        <f>Table2[[#This Row],[Profit]]/Table2[[#This Row],[Sales]]</f>
        <v>0.21620288095369503</v>
      </c>
    </row>
    <row r="62" spans="1:8" ht="12" customHeight="1" x14ac:dyDescent="0.3">
      <c r="A62" s="13">
        <v>2061</v>
      </c>
      <c r="B62" s="14" t="s">
        <v>61</v>
      </c>
      <c r="C62" s="13" t="s">
        <v>402</v>
      </c>
      <c r="D62" s="13" t="s">
        <v>407</v>
      </c>
      <c r="E62" s="13" t="s">
        <v>412</v>
      </c>
      <c r="F62" s="15">
        <v>7758</v>
      </c>
      <c r="G62" s="15">
        <v>2158.36</v>
      </c>
      <c r="H62" s="15">
        <f>Table2[[#This Row],[Profit]]/Table2[[#This Row],[Sales]]</f>
        <v>0.27821087909254966</v>
      </c>
    </row>
    <row r="63" spans="1:8" ht="12" customHeight="1" x14ac:dyDescent="0.3">
      <c r="A63" s="13">
        <v>2062</v>
      </c>
      <c r="B63" s="14" t="s">
        <v>62</v>
      </c>
      <c r="C63" s="13" t="s">
        <v>401</v>
      </c>
      <c r="D63" s="13" t="s">
        <v>408</v>
      </c>
      <c r="E63" s="13" t="s">
        <v>412</v>
      </c>
      <c r="F63" s="15">
        <v>1232</v>
      </c>
      <c r="G63" s="15">
        <v>148.35</v>
      </c>
      <c r="H63" s="15">
        <f>Table2[[#This Row],[Profit]]/Table2[[#This Row],[Sales]]</f>
        <v>0.12041396103896103</v>
      </c>
    </row>
    <row r="64" spans="1:8" ht="12" customHeight="1" x14ac:dyDescent="0.3">
      <c r="A64" s="13">
        <v>2063</v>
      </c>
      <c r="B64" s="14" t="s">
        <v>63</v>
      </c>
      <c r="C64" s="13" t="s">
        <v>404</v>
      </c>
      <c r="D64" s="13" t="s">
        <v>409</v>
      </c>
      <c r="E64" s="13" t="s">
        <v>411</v>
      </c>
      <c r="F64" s="15">
        <v>8464</v>
      </c>
      <c r="G64" s="15">
        <v>2470.8000000000002</v>
      </c>
      <c r="H64" s="15">
        <f>Table2[[#This Row],[Profit]]/Table2[[#This Row],[Sales]]</f>
        <v>0.29191871455576562</v>
      </c>
    </row>
    <row r="65" spans="1:8" ht="12" customHeight="1" x14ac:dyDescent="0.3">
      <c r="A65" s="13">
        <v>2064</v>
      </c>
      <c r="B65" s="14" t="s">
        <v>64</v>
      </c>
      <c r="C65" s="13" t="s">
        <v>401</v>
      </c>
      <c r="D65" s="13" t="s">
        <v>410</v>
      </c>
      <c r="E65" s="13" t="s">
        <v>413</v>
      </c>
      <c r="F65" s="15">
        <v>19886</v>
      </c>
      <c r="G65" s="15">
        <v>5438.56</v>
      </c>
      <c r="H65" s="15">
        <f>Table2[[#This Row],[Profit]]/Table2[[#This Row],[Sales]]</f>
        <v>0.2734868751885749</v>
      </c>
    </row>
    <row r="66" spans="1:8" ht="12" customHeight="1" x14ac:dyDescent="0.3">
      <c r="A66" s="13">
        <v>2065</v>
      </c>
      <c r="B66" s="14" t="s">
        <v>65</v>
      </c>
      <c r="C66" s="13" t="s">
        <v>404</v>
      </c>
      <c r="D66" s="13" t="s">
        <v>405</v>
      </c>
      <c r="E66" s="13" t="s">
        <v>411</v>
      </c>
      <c r="F66" s="15">
        <v>27180</v>
      </c>
      <c r="G66" s="15">
        <v>2928.05</v>
      </c>
      <c r="H66" s="15">
        <f>Table2[[#This Row],[Profit]]/Table2[[#This Row],[Sales]]</f>
        <v>0.1077281089036056</v>
      </c>
    </row>
    <row r="67" spans="1:8" ht="12" customHeight="1" x14ac:dyDescent="0.3">
      <c r="A67" s="13">
        <v>2066</v>
      </c>
      <c r="B67" s="14" t="s">
        <v>66</v>
      </c>
      <c r="C67" s="13" t="s">
        <v>404</v>
      </c>
      <c r="D67" s="13" t="s">
        <v>408</v>
      </c>
      <c r="E67" s="13" t="s">
        <v>412</v>
      </c>
      <c r="F67" s="15">
        <v>20579</v>
      </c>
      <c r="G67" s="15">
        <v>3369.76</v>
      </c>
      <c r="H67" s="15">
        <f>Table2[[#This Row],[Profit]]/Table2[[#This Row],[Sales]]</f>
        <v>0.16374750959716217</v>
      </c>
    </row>
    <row r="68" spans="1:8" ht="12" customHeight="1" x14ac:dyDescent="0.3">
      <c r="A68" s="13">
        <v>2067</v>
      </c>
      <c r="B68" s="14" t="s">
        <v>62</v>
      </c>
      <c r="C68" s="13" t="s">
        <v>401</v>
      </c>
      <c r="D68" s="13" t="s">
        <v>406</v>
      </c>
      <c r="E68" s="13" t="s">
        <v>413</v>
      </c>
      <c r="F68" s="15">
        <v>29584</v>
      </c>
      <c r="G68" s="15">
        <v>8247.99</v>
      </c>
      <c r="H68" s="15">
        <f>Table2[[#This Row],[Profit]]/Table2[[#This Row],[Sales]]</f>
        <v>0.27879901297998916</v>
      </c>
    </row>
    <row r="69" spans="1:8" ht="12" customHeight="1" x14ac:dyDescent="0.3">
      <c r="A69" s="13">
        <v>2068</v>
      </c>
      <c r="B69" s="14" t="s">
        <v>67</v>
      </c>
      <c r="C69" s="13" t="s">
        <v>403</v>
      </c>
      <c r="D69" s="13" t="s">
        <v>409</v>
      </c>
      <c r="E69" s="13" t="s">
        <v>413</v>
      </c>
      <c r="F69" s="15">
        <v>25651</v>
      </c>
      <c r="G69" s="15">
        <v>4799.3</v>
      </c>
      <c r="H69" s="15">
        <f>Table2[[#This Row],[Profit]]/Table2[[#This Row],[Sales]]</f>
        <v>0.18709991813184673</v>
      </c>
    </row>
    <row r="70" spans="1:8" ht="12" customHeight="1" x14ac:dyDescent="0.3">
      <c r="A70" s="13">
        <v>2069</v>
      </c>
      <c r="B70" s="14" t="s">
        <v>68</v>
      </c>
      <c r="C70" s="13" t="s">
        <v>402</v>
      </c>
      <c r="D70" s="13" t="s">
        <v>410</v>
      </c>
      <c r="E70" s="13" t="s">
        <v>411</v>
      </c>
      <c r="F70" s="15">
        <v>28380</v>
      </c>
      <c r="G70" s="15">
        <v>8332.5400000000009</v>
      </c>
      <c r="H70" s="15">
        <f>Table2[[#This Row],[Profit]]/Table2[[#This Row],[Sales]]</f>
        <v>0.29360606060606065</v>
      </c>
    </row>
    <row r="71" spans="1:8" ht="12" customHeight="1" x14ac:dyDescent="0.3">
      <c r="A71" s="13">
        <v>2070</v>
      </c>
      <c r="B71" s="14" t="s">
        <v>69</v>
      </c>
      <c r="C71" s="13" t="s">
        <v>402</v>
      </c>
      <c r="D71" s="13" t="s">
        <v>405</v>
      </c>
      <c r="E71" s="13" t="s">
        <v>412</v>
      </c>
      <c r="F71" s="15">
        <v>6286</v>
      </c>
      <c r="G71" s="15">
        <v>1017.22</v>
      </c>
      <c r="H71" s="15">
        <f>Table2[[#This Row],[Profit]]/Table2[[#This Row],[Sales]]</f>
        <v>0.16182309895004773</v>
      </c>
    </row>
    <row r="72" spans="1:8" ht="12" customHeight="1" x14ac:dyDescent="0.3">
      <c r="A72" s="13">
        <v>2071</v>
      </c>
      <c r="B72" s="14" t="s">
        <v>70</v>
      </c>
      <c r="C72" s="13" t="s">
        <v>403</v>
      </c>
      <c r="D72" s="13" t="s">
        <v>410</v>
      </c>
      <c r="E72" s="13" t="s">
        <v>411</v>
      </c>
      <c r="F72" s="15">
        <v>4302</v>
      </c>
      <c r="G72" s="15">
        <v>415.86</v>
      </c>
      <c r="H72" s="15">
        <f>Table2[[#This Row],[Profit]]/Table2[[#This Row],[Sales]]</f>
        <v>9.6666666666666665E-2</v>
      </c>
    </row>
    <row r="73" spans="1:8" ht="12" customHeight="1" x14ac:dyDescent="0.3">
      <c r="A73" s="13">
        <v>2072</v>
      </c>
      <c r="B73" s="14" t="s">
        <v>71</v>
      </c>
      <c r="C73" s="13" t="s">
        <v>403</v>
      </c>
      <c r="D73" s="13" t="s">
        <v>408</v>
      </c>
      <c r="E73" s="13" t="s">
        <v>411</v>
      </c>
      <c r="F73" s="15">
        <v>25820</v>
      </c>
      <c r="G73" s="15">
        <v>4533.1400000000003</v>
      </c>
      <c r="H73" s="15">
        <f>Table2[[#This Row],[Profit]]/Table2[[#This Row],[Sales]]</f>
        <v>0.17556700232378003</v>
      </c>
    </row>
    <row r="74" spans="1:8" ht="12" customHeight="1" x14ac:dyDescent="0.3">
      <c r="A74" s="13">
        <v>2073</v>
      </c>
      <c r="B74" s="14" t="s">
        <v>72</v>
      </c>
      <c r="C74" s="13" t="s">
        <v>404</v>
      </c>
      <c r="D74" s="13" t="s">
        <v>409</v>
      </c>
      <c r="E74" s="13" t="s">
        <v>411</v>
      </c>
      <c r="F74" s="15">
        <v>27442</v>
      </c>
      <c r="G74" s="15">
        <v>2756.32</v>
      </c>
      <c r="H74" s="15">
        <f>Table2[[#This Row],[Profit]]/Table2[[#This Row],[Sales]]</f>
        <v>0.1004416587712266</v>
      </c>
    </row>
    <row r="75" spans="1:8" ht="12" customHeight="1" x14ac:dyDescent="0.3">
      <c r="A75" s="13">
        <v>2074</v>
      </c>
      <c r="B75" s="14" t="s">
        <v>69</v>
      </c>
      <c r="C75" s="13" t="s">
        <v>403</v>
      </c>
      <c r="D75" s="13" t="s">
        <v>408</v>
      </c>
      <c r="E75" s="13" t="s">
        <v>411</v>
      </c>
      <c r="F75" s="15">
        <v>19227</v>
      </c>
      <c r="G75" s="15">
        <v>4129.1899999999996</v>
      </c>
      <c r="H75" s="15">
        <f>Table2[[#This Row],[Profit]]/Table2[[#This Row],[Sales]]</f>
        <v>0.21475997295469909</v>
      </c>
    </row>
    <row r="76" spans="1:8" ht="12" customHeight="1" x14ac:dyDescent="0.3">
      <c r="A76" s="13">
        <v>2075</v>
      </c>
      <c r="B76" s="14" t="s">
        <v>73</v>
      </c>
      <c r="C76" s="13" t="s">
        <v>404</v>
      </c>
      <c r="D76" s="13" t="s">
        <v>410</v>
      </c>
      <c r="E76" s="13" t="s">
        <v>411</v>
      </c>
      <c r="F76" s="15">
        <v>24124</v>
      </c>
      <c r="G76" s="15">
        <v>4761.88</v>
      </c>
      <c r="H76" s="15">
        <f>Table2[[#This Row],[Profit]]/Table2[[#This Row],[Sales]]</f>
        <v>0.19739180898690101</v>
      </c>
    </row>
    <row r="77" spans="1:8" ht="12" customHeight="1" x14ac:dyDescent="0.3">
      <c r="A77" s="13">
        <v>2076</v>
      </c>
      <c r="B77" s="14" t="s">
        <v>74</v>
      </c>
      <c r="C77" s="13" t="s">
        <v>404</v>
      </c>
      <c r="D77" s="13" t="s">
        <v>406</v>
      </c>
      <c r="E77" s="13" t="s">
        <v>412</v>
      </c>
      <c r="F77" s="15">
        <v>23188</v>
      </c>
      <c r="G77" s="15">
        <v>4036.26</v>
      </c>
      <c r="H77" s="15">
        <f>Table2[[#This Row],[Profit]]/Table2[[#This Row],[Sales]]</f>
        <v>0.1740667586682767</v>
      </c>
    </row>
    <row r="78" spans="1:8" ht="12" customHeight="1" x14ac:dyDescent="0.3">
      <c r="A78" s="13">
        <v>2077</v>
      </c>
      <c r="B78" s="14" t="s">
        <v>75</v>
      </c>
      <c r="C78" s="13" t="s">
        <v>401</v>
      </c>
      <c r="D78" s="13" t="s">
        <v>409</v>
      </c>
      <c r="E78" s="13" t="s">
        <v>413</v>
      </c>
      <c r="F78" s="15">
        <v>14587</v>
      </c>
      <c r="G78" s="15">
        <v>3159.56</v>
      </c>
      <c r="H78" s="15">
        <f>Table2[[#This Row],[Profit]]/Table2[[#This Row],[Sales]]</f>
        <v>0.216601083156235</v>
      </c>
    </row>
    <row r="79" spans="1:8" ht="12" customHeight="1" x14ac:dyDescent="0.3">
      <c r="A79" s="13">
        <v>2078</v>
      </c>
      <c r="B79" s="14" t="s">
        <v>76</v>
      </c>
      <c r="C79" s="13" t="s">
        <v>404</v>
      </c>
      <c r="D79" s="13" t="s">
        <v>405</v>
      </c>
      <c r="E79" s="13" t="s">
        <v>412</v>
      </c>
      <c r="F79" s="15">
        <v>3921</v>
      </c>
      <c r="G79" s="15">
        <v>639.33000000000004</v>
      </c>
      <c r="H79" s="15">
        <f>Table2[[#This Row],[Profit]]/Table2[[#This Row],[Sales]]</f>
        <v>0.16305279265493497</v>
      </c>
    </row>
    <row r="80" spans="1:8" ht="12" customHeight="1" x14ac:dyDescent="0.3">
      <c r="A80" s="13">
        <v>2079</v>
      </c>
      <c r="B80" s="14" t="s">
        <v>77</v>
      </c>
      <c r="C80" s="13" t="s">
        <v>404</v>
      </c>
      <c r="D80" s="13" t="s">
        <v>410</v>
      </c>
      <c r="E80" s="13" t="s">
        <v>411</v>
      </c>
      <c r="F80" s="15">
        <v>2646</v>
      </c>
      <c r="G80" s="15">
        <v>487.74</v>
      </c>
      <c r="H80" s="15">
        <f>Table2[[#This Row],[Profit]]/Table2[[#This Row],[Sales]]</f>
        <v>0.1843310657596372</v>
      </c>
    </row>
    <row r="81" spans="1:8" ht="12" customHeight="1" x14ac:dyDescent="0.3">
      <c r="A81" s="13">
        <v>2080</v>
      </c>
      <c r="B81" s="14" t="s">
        <v>78</v>
      </c>
      <c r="C81" s="13" t="s">
        <v>403</v>
      </c>
      <c r="D81" s="13" t="s">
        <v>410</v>
      </c>
      <c r="E81" s="13" t="s">
        <v>413</v>
      </c>
      <c r="F81" s="15">
        <v>24004</v>
      </c>
      <c r="G81" s="15">
        <v>6674.98</v>
      </c>
      <c r="H81" s="15">
        <f>Table2[[#This Row],[Profit]]/Table2[[#This Row],[Sales]]</f>
        <v>0.27807782036327278</v>
      </c>
    </row>
    <row r="82" spans="1:8" ht="12" customHeight="1" x14ac:dyDescent="0.3">
      <c r="A82" s="13">
        <v>2081</v>
      </c>
      <c r="B82" s="14" t="s">
        <v>79</v>
      </c>
      <c r="C82" s="13" t="s">
        <v>402</v>
      </c>
      <c r="D82" s="13" t="s">
        <v>406</v>
      </c>
      <c r="E82" s="13" t="s">
        <v>413</v>
      </c>
      <c r="F82" s="15">
        <v>9057</v>
      </c>
      <c r="G82" s="15">
        <v>2232.37</v>
      </c>
      <c r="H82" s="15">
        <f>Table2[[#This Row],[Profit]]/Table2[[#This Row],[Sales]]</f>
        <v>0.24648007066357513</v>
      </c>
    </row>
    <row r="83" spans="1:8" ht="12" customHeight="1" x14ac:dyDescent="0.3">
      <c r="A83" s="13">
        <v>2082</v>
      </c>
      <c r="B83" s="14" t="s">
        <v>80</v>
      </c>
      <c r="C83" s="13" t="s">
        <v>403</v>
      </c>
      <c r="D83" s="13" t="s">
        <v>408</v>
      </c>
      <c r="E83" s="13" t="s">
        <v>412</v>
      </c>
      <c r="F83" s="15">
        <v>13828</v>
      </c>
      <c r="G83" s="15">
        <v>1459.36</v>
      </c>
      <c r="H83" s="15">
        <f>Table2[[#This Row],[Profit]]/Table2[[#This Row],[Sales]]</f>
        <v>0.10553659242117443</v>
      </c>
    </row>
    <row r="84" spans="1:8" ht="12" customHeight="1" x14ac:dyDescent="0.3">
      <c r="A84" s="13">
        <v>2083</v>
      </c>
      <c r="B84" s="14" t="s">
        <v>81</v>
      </c>
      <c r="C84" s="13" t="s">
        <v>402</v>
      </c>
      <c r="D84" s="13" t="s">
        <v>407</v>
      </c>
      <c r="E84" s="13" t="s">
        <v>412</v>
      </c>
      <c r="F84" s="15">
        <v>11299</v>
      </c>
      <c r="G84" s="15">
        <v>1823.23</v>
      </c>
      <c r="H84" s="15">
        <f>Table2[[#This Row],[Profit]]/Table2[[#This Row],[Sales]]</f>
        <v>0.16136206743959641</v>
      </c>
    </row>
    <row r="85" spans="1:8" ht="12" customHeight="1" x14ac:dyDescent="0.3">
      <c r="A85" s="13">
        <v>2084</v>
      </c>
      <c r="B85" s="14" t="s">
        <v>62</v>
      </c>
      <c r="C85" s="13" t="s">
        <v>401</v>
      </c>
      <c r="D85" s="13" t="s">
        <v>407</v>
      </c>
      <c r="E85" s="13" t="s">
        <v>411</v>
      </c>
      <c r="F85" s="15">
        <v>27468</v>
      </c>
      <c r="G85" s="15">
        <v>3875.95</v>
      </c>
      <c r="H85" s="15">
        <f>Table2[[#This Row],[Profit]]/Table2[[#This Row],[Sales]]</f>
        <v>0.14110783457113732</v>
      </c>
    </row>
    <row r="86" spans="1:8" ht="12" customHeight="1" x14ac:dyDescent="0.3">
      <c r="A86" s="13">
        <v>2085</v>
      </c>
      <c r="B86" s="14" t="s">
        <v>82</v>
      </c>
      <c r="C86" s="13" t="s">
        <v>402</v>
      </c>
      <c r="D86" s="13" t="s">
        <v>409</v>
      </c>
      <c r="E86" s="13" t="s">
        <v>412</v>
      </c>
      <c r="F86" s="15">
        <v>8212</v>
      </c>
      <c r="G86" s="15">
        <v>2331.4699999999998</v>
      </c>
      <c r="H86" s="15">
        <f>Table2[[#This Row],[Profit]]/Table2[[#This Row],[Sales]]</f>
        <v>0.28391013151485628</v>
      </c>
    </row>
    <row r="87" spans="1:8" ht="12" customHeight="1" x14ac:dyDescent="0.3">
      <c r="A87" s="13">
        <v>2086</v>
      </c>
      <c r="B87" s="14" t="s">
        <v>83</v>
      </c>
      <c r="C87" s="13" t="s">
        <v>401</v>
      </c>
      <c r="D87" s="13" t="s">
        <v>408</v>
      </c>
      <c r="E87" s="13" t="s">
        <v>413</v>
      </c>
      <c r="F87" s="15">
        <v>29531</v>
      </c>
      <c r="G87" s="15">
        <v>8237.35</v>
      </c>
      <c r="H87" s="15">
        <f>Table2[[#This Row],[Profit]]/Table2[[#This Row],[Sales]]</f>
        <v>0.27893908096576481</v>
      </c>
    </row>
    <row r="88" spans="1:8" ht="12" customHeight="1" x14ac:dyDescent="0.3">
      <c r="A88" s="13">
        <v>2087</v>
      </c>
      <c r="B88" s="14" t="s">
        <v>84</v>
      </c>
      <c r="C88" s="13" t="s">
        <v>401</v>
      </c>
      <c r="D88" s="13" t="s">
        <v>410</v>
      </c>
      <c r="E88" s="13" t="s">
        <v>412</v>
      </c>
      <c r="F88" s="15">
        <v>10935</v>
      </c>
      <c r="G88" s="15">
        <v>3260.62</v>
      </c>
      <c r="H88" s="15">
        <f>Table2[[#This Row],[Profit]]/Table2[[#This Row],[Sales]]</f>
        <v>0.2981819844535894</v>
      </c>
    </row>
    <row r="89" spans="1:8" ht="12" customHeight="1" x14ac:dyDescent="0.3">
      <c r="A89" s="13">
        <v>2088</v>
      </c>
      <c r="B89" s="14" t="s">
        <v>72</v>
      </c>
      <c r="C89" s="13" t="s">
        <v>402</v>
      </c>
      <c r="D89" s="13" t="s">
        <v>408</v>
      </c>
      <c r="E89" s="13" t="s">
        <v>411</v>
      </c>
      <c r="F89" s="15">
        <v>17250</v>
      </c>
      <c r="G89" s="15">
        <v>3410</v>
      </c>
      <c r="H89" s="15">
        <f>Table2[[#This Row],[Profit]]/Table2[[#This Row],[Sales]]</f>
        <v>0.19768115942028985</v>
      </c>
    </row>
    <row r="90" spans="1:8" ht="12" customHeight="1" x14ac:dyDescent="0.3">
      <c r="A90" s="13">
        <v>2089</v>
      </c>
      <c r="B90" s="14" t="s">
        <v>21</v>
      </c>
      <c r="C90" s="13" t="s">
        <v>404</v>
      </c>
      <c r="D90" s="13" t="s">
        <v>405</v>
      </c>
      <c r="E90" s="13" t="s">
        <v>411</v>
      </c>
      <c r="F90" s="15">
        <v>8897</v>
      </c>
      <c r="G90" s="15">
        <v>2437.7399999999998</v>
      </c>
      <c r="H90" s="15">
        <f>Table2[[#This Row],[Profit]]/Table2[[#This Row],[Sales]]</f>
        <v>0.27399572889738111</v>
      </c>
    </row>
    <row r="91" spans="1:8" ht="12" customHeight="1" x14ac:dyDescent="0.3">
      <c r="A91" s="13">
        <v>2090</v>
      </c>
      <c r="B91" s="14" t="s">
        <v>57</v>
      </c>
      <c r="C91" s="13" t="s">
        <v>403</v>
      </c>
      <c r="D91" s="13" t="s">
        <v>408</v>
      </c>
      <c r="E91" s="13" t="s">
        <v>412</v>
      </c>
      <c r="F91" s="15">
        <v>18363</v>
      </c>
      <c r="G91" s="15">
        <v>5093.22</v>
      </c>
      <c r="H91" s="15">
        <f>Table2[[#This Row],[Profit]]/Table2[[#This Row],[Sales]]</f>
        <v>0.27736317595164189</v>
      </c>
    </row>
    <row r="92" spans="1:8" ht="12" customHeight="1" x14ac:dyDescent="0.3">
      <c r="A92" s="13">
        <v>2091</v>
      </c>
      <c r="B92" s="14" t="s">
        <v>85</v>
      </c>
      <c r="C92" s="13" t="s">
        <v>403</v>
      </c>
      <c r="D92" s="13" t="s">
        <v>410</v>
      </c>
      <c r="E92" s="13" t="s">
        <v>412</v>
      </c>
      <c r="F92" s="15">
        <v>11112</v>
      </c>
      <c r="G92" s="15">
        <v>2375.4499999999998</v>
      </c>
      <c r="H92" s="15">
        <f>Table2[[#This Row],[Profit]]/Table2[[#This Row],[Sales]]</f>
        <v>0.21377339812814974</v>
      </c>
    </row>
    <row r="93" spans="1:8" ht="12" customHeight="1" x14ac:dyDescent="0.3">
      <c r="A93" s="13">
        <v>2092</v>
      </c>
      <c r="B93" s="14" t="s">
        <v>86</v>
      </c>
      <c r="C93" s="13" t="s">
        <v>403</v>
      </c>
      <c r="D93" s="13" t="s">
        <v>409</v>
      </c>
      <c r="E93" s="13" t="s">
        <v>412</v>
      </c>
      <c r="F93" s="15">
        <v>4526</v>
      </c>
      <c r="G93" s="15">
        <v>730.9</v>
      </c>
      <c r="H93" s="15">
        <f>Table2[[#This Row],[Profit]]/Table2[[#This Row],[Sales]]</f>
        <v>0.16148917366327883</v>
      </c>
    </row>
    <row r="94" spans="1:8" ht="12" customHeight="1" x14ac:dyDescent="0.3">
      <c r="A94" s="13">
        <v>2093</v>
      </c>
      <c r="B94" s="14" t="s">
        <v>22</v>
      </c>
      <c r="C94" s="13" t="s">
        <v>404</v>
      </c>
      <c r="D94" s="13" t="s">
        <v>408</v>
      </c>
      <c r="E94" s="13" t="s">
        <v>411</v>
      </c>
      <c r="F94" s="15">
        <v>4765</v>
      </c>
      <c r="G94" s="15">
        <v>1241.5899999999999</v>
      </c>
      <c r="H94" s="15">
        <f>Table2[[#This Row],[Profit]]/Table2[[#This Row],[Sales]]</f>
        <v>0.26056453305351518</v>
      </c>
    </row>
    <row r="95" spans="1:8" ht="12" customHeight="1" x14ac:dyDescent="0.3">
      <c r="A95" s="13">
        <v>2094</v>
      </c>
      <c r="B95" s="14" t="s">
        <v>87</v>
      </c>
      <c r="C95" s="13" t="s">
        <v>401</v>
      </c>
      <c r="D95" s="13" t="s">
        <v>408</v>
      </c>
      <c r="E95" s="13" t="s">
        <v>412</v>
      </c>
      <c r="F95" s="15">
        <v>3750</v>
      </c>
      <c r="G95" s="15">
        <v>550.51</v>
      </c>
      <c r="H95" s="15">
        <f>Table2[[#This Row],[Profit]]/Table2[[#This Row],[Sales]]</f>
        <v>0.14680266666666666</v>
      </c>
    </row>
    <row r="96" spans="1:8" ht="12" customHeight="1" x14ac:dyDescent="0.3">
      <c r="A96" s="13">
        <v>2095</v>
      </c>
      <c r="B96" s="14" t="s">
        <v>88</v>
      </c>
      <c r="C96" s="13" t="s">
        <v>403</v>
      </c>
      <c r="D96" s="13" t="s">
        <v>408</v>
      </c>
      <c r="E96" s="13" t="s">
        <v>413</v>
      </c>
      <c r="F96" s="15">
        <v>23013</v>
      </c>
      <c r="G96" s="15">
        <v>6164.62</v>
      </c>
      <c r="H96" s="15">
        <f>Table2[[#This Row],[Profit]]/Table2[[#This Row],[Sales]]</f>
        <v>0.26787554860296353</v>
      </c>
    </row>
    <row r="97" spans="1:8" ht="12" customHeight="1" x14ac:dyDescent="0.3">
      <c r="A97" s="13">
        <v>2096</v>
      </c>
      <c r="B97" s="14" t="s">
        <v>89</v>
      </c>
      <c r="C97" s="13" t="s">
        <v>404</v>
      </c>
      <c r="D97" s="13" t="s">
        <v>405</v>
      </c>
      <c r="E97" s="13" t="s">
        <v>411</v>
      </c>
      <c r="F97" s="15">
        <v>7954</v>
      </c>
      <c r="G97" s="15">
        <v>1656.4</v>
      </c>
      <c r="H97" s="15">
        <f>Table2[[#This Row],[Profit]]/Table2[[#This Row],[Sales]]</f>
        <v>0.20824742268041238</v>
      </c>
    </row>
    <row r="98" spans="1:8" ht="12" customHeight="1" x14ac:dyDescent="0.3">
      <c r="A98" s="13">
        <v>2097</v>
      </c>
      <c r="B98" s="14" t="s">
        <v>90</v>
      </c>
      <c r="C98" s="13" t="s">
        <v>404</v>
      </c>
      <c r="D98" s="13" t="s">
        <v>406</v>
      </c>
      <c r="E98" s="13" t="s">
        <v>412</v>
      </c>
      <c r="F98" s="15">
        <v>25584</v>
      </c>
      <c r="G98" s="15">
        <v>6149.04</v>
      </c>
      <c r="H98" s="15">
        <f>Table2[[#This Row],[Profit]]/Table2[[#This Row],[Sales]]</f>
        <v>0.24034709193245779</v>
      </c>
    </row>
    <row r="99" spans="1:8" ht="12" customHeight="1" x14ac:dyDescent="0.3">
      <c r="A99" s="13">
        <v>2098</v>
      </c>
      <c r="B99" s="14" t="s">
        <v>23</v>
      </c>
      <c r="C99" s="13" t="s">
        <v>404</v>
      </c>
      <c r="D99" s="13" t="s">
        <v>408</v>
      </c>
      <c r="E99" s="13" t="s">
        <v>412</v>
      </c>
      <c r="F99" s="15">
        <v>28216</v>
      </c>
      <c r="G99" s="15">
        <v>6908.61</v>
      </c>
      <c r="H99" s="15">
        <f>Table2[[#This Row],[Profit]]/Table2[[#This Row],[Sales]]</f>
        <v>0.24484724978735467</v>
      </c>
    </row>
    <row r="100" spans="1:8" ht="12" customHeight="1" x14ac:dyDescent="0.3">
      <c r="A100" s="13">
        <v>2099</v>
      </c>
      <c r="B100" s="14" t="s">
        <v>91</v>
      </c>
      <c r="C100" s="13" t="s">
        <v>404</v>
      </c>
      <c r="D100" s="13" t="s">
        <v>407</v>
      </c>
      <c r="E100" s="13" t="s">
        <v>412</v>
      </c>
      <c r="F100" s="15">
        <v>17482</v>
      </c>
      <c r="G100" s="15">
        <v>3056.93</v>
      </c>
      <c r="H100" s="15">
        <f>Table2[[#This Row],[Profit]]/Table2[[#This Row],[Sales]]</f>
        <v>0.1748615719025283</v>
      </c>
    </row>
    <row r="101" spans="1:8" ht="12" customHeight="1" x14ac:dyDescent="0.3">
      <c r="A101" s="13">
        <v>2100</v>
      </c>
      <c r="B101" s="14" t="s">
        <v>92</v>
      </c>
      <c r="C101" s="13" t="s">
        <v>404</v>
      </c>
      <c r="D101" s="13" t="s">
        <v>406</v>
      </c>
      <c r="E101" s="13" t="s">
        <v>413</v>
      </c>
      <c r="F101" s="15">
        <v>9661</v>
      </c>
      <c r="G101" s="15">
        <v>1318.07</v>
      </c>
      <c r="H101" s="15">
        <f>Table2[[#This Row],[Profit]]/Table2[[#This Row],[Sales]]</f>
        <v>0.13643204637201117</v>
      </c>
    </row>
    <row r="102" spans="1:8" ht="12" customHeight="1" x14ac:dyDescent="0.3">
      <c r="A102" s="13">
        <v>2101</v>
      </c>
      <c r="B102" s="14" t="s">
        <v>93</v>
      </c>
      <c r="C102" s="13" t="s">
        <v>401</v>
      </c>
      <c r="D102" s="13" t="s">
        <v>405</v>
      </c>
      <c r="E102" s="13" t="s">
        <v>412</v>
      </c>
      <c r="F102" s="15">
        <v>4418</v>
      </c>
      <c r="G102" s="15">
        <v>929.93</v>
      </c>
      <c r="H102" s="15">
        <f>Table2[[#This Row],[Profit]]/Table2[[#This Row],[Sales]]</f>
        <v>0.21048664554096874</v>
      </c>
    </row>
    <row r="103" spans="1:8" ht="12" customHeight="1" x14ac:dyDescent="0.3">
      <c r="A103" s="13">
        <v>2102</v>
      </c>
      <c r="B103" s="14" t="s">
        <v>94</v>
      </c>
      <c r="C103" s="13" t="s">
        <v>404</v>
      </c>
      <c r="D103" s="13" t="s">
        <v>405</v>
      </c>
      <c r="E103" s="13" t="s">
        <v>412</v>
      </c>
      <c r="F103" s="15">
        <v>21141</v>
      </c>
      <c r="G103" s="15">
        <v>6132.09</v>
      </c>
      <c r="H103" s="15">
        <f>Table2[[#This Row],[Profit]]/Table2[[#This Row],[Sales]]</f>
        <v>0.29005676174258549</v>
      </c>
    </row>
    <row r="104" spans="1:8" ht="12" customHeight="1" x14ac:dyDescent="0.3">
      <c r="A104" s="13">
        <v>2103</v>
      </c>
      <c r="B104" s="14" t="s">
        <v>95</v>
      </c>
      <c r="C104" s="13" t="s">
        <v>403</v>
      </c>
      <c r="D104" s="13" t="s">
        <v>406</v>
      </c>
      <c r="E104" s="13" t="s">
        <v>413</v>
      </c>
      <c r="F104" s="15">
        <v>20776</v>
      </c>
      <c r="G104" s="15">
        <v>2879.03</v>
      </c>
      <c r="H104" s="15">
        <f>Table2[[#This Row],[Profit]]/Table2[[#This Row],[Sales]]</f>
        <v>0.13857479784366578</v>
      </c>
    </row>
    <row r="105" spans="1:8" ht="12" customHeight="1" x14ac:dyDescent="0.3">
      <c r="A105" s="13">
        <v>2104</v>
      </c>
      <c r="B105" s="14" t="s">
        <v>96</v>
      </c>
      <c r="C105" s="13" t="s">
        <v>402</v>
      </c>
      <c r="D105" s="13" t="s">
        <v>407</v>
      </c>
      <c r="E105" s="13" t="s">
        <v>413</v>
      </c>
      <c r="F105" s="15">
        <v>20289</v>
      </c>
      <c r="G105" s="15">
        <v>3434.81</v>
      </c>
      <c r="H105" s="15">
        <f>Table2[[#This Row],[Profit]]/Table2[[#This Row],[Sales]]</f>
        <v>0.16929419882695057</v>
      </c>
    </row>
    <row r="106" spans="1:8" ht="12" customHeight="1" x14ac:dyDescent="0.3">
      <c r="A106" s="13">
        <v>2105</v>
      </c>
      <c r="B106" s="14" t="s">
        <v>19</v>
      </c>
      <c r="C106" s="13" t="s">
        <v>401</v>
      </c>
      <c r="D106" s="13" t="s">
        <v>406</v>
      </c>
      <c r="E106" s="13" t="s">
        <v>411</v>
      </c>
      <c r="F106" s="15">
        <v>20915</v>
      </c>
      <c r="G106" s="15">
        <v>3630.77</v>
      </c>
      <c r="H106" s="15">
        <f>Table2[[#This Row],[Profit]]/Table2[[#This Row],[Sales]]</f>
        <v>0.17359646186947167</v>
      </c>
    </row>
    <row r="107" spans="1:8" ht="12" customHeight="1" x14ac:dyDescent="0.3">
      <c r="A107" s="13">
        <v>2106</v>
      </c>
      <c r="B107" s="14" t="s">
        <v>97</v>
      </c>
      <c r="C107" s="13" t="s">
        <v>401</v>
      </c>
      <c r="D107" s="13" t="s">
        <v>405</v>
      </c>
      <c r="E107" s="13" t="s">
        <v>411</v>
      </c>
      <c r="F107" s="15">
        <v>9183</v>
      </c>
      <c r="G107" s="15">
        <v>2610.89</v>
      </c>
      <c r="H107" s="15">
        <f>Table2[[#This Row],[Profit]]/Table2[[#This Row],[Sales]]</f>
        <v>0.28431776108025697</v>
      </c>
    </row>
    <row r="108" spans="1:8" ht="12" customHeight="1" x14ac:dyDescent="0.3">
      <c r="A108" s="13">
        <v>2107</v>
      </c>
      <c r="B108" s="14" t="s">
        <v>98</v>
      </c>
      <c r="C108" s="13" t="s">
        <v>401</v>
      </c>
      <c r="D108" s="13" t="s">
        <v>408</v>
      </c>
      <c r="E108" s="13" t="s">
        <v>411</v>
      </c>
      <c r="F108" s="15">
        <v>13812</v>
      </c>
      <c r="G108" s="15">
        <v>2510.7199999999998</v>
      </c>
      <c r="H108" s="15">
        <f>Table2[[#This Row],[Profit]]/Table2[[#This Row],[Sales]]</f>
        <v>0.18177816391543583</v>
      </c>
    </row>
    <row r="109" spans="1:8" ht="12" customHeight="1" x14ac:dyDescent="0.3">
      <c r="A109" s="13">
        <v>2108</v>
      </c>
      <c r="B109" s="14" t="s">
        <v>99</v>
      </c>
      <c r="C109" s="13" t="s">
        <v>403</v>
      </c>
      <c r="D109" s="13" t="s">
        <v>405</v>
      </c>
      <c r="E109" s="13" t="s">
        <v>413</v>
      </c>
      <c r="F109" s="15">
        <v>1885</v>
      </c>
      <c r="G109" s="15">
        <v>338.43</v>
      </c>
      <c r="H109" s="15">
        <f>Table2[[#This Row],[Profit]]/Table2[[#This Row],[Sales]]</f>
        <v>0.17953846153846154</v>
      </c>
    </row>
    <row r="110" spans="1:8" ht="12" customHeight="1" x14ac:dyDescent="0.3">
      <c r="A110" s="13">
        <v>2109</v>
      </c>
      <c r="B110" s="14" t="s">
        <v>100</v>
      </c>
      <c r="C110" s="13" t="s">
        <v>402</v>
      </c>
      <c r="D110" s="13" t="s">
        <v>409</v>
      </c>
      <c r="E110" s="13" t="s">
        <v>411</v>
      </c>
      <c r="F110" s="15">
        <v>28708</v>
      </c>
      <c r="G110" s="15">
        <v>2753.9</v>
      </c>
      <c r="H110" s="15">
        <f>Table2[[#This Row],[Profit]]/Table2[[#This Row],[Sales]]</f>
        <v>9.5927964330500215E-2</v>
      </c>
    </row>
    <row r="111" spans="1:8" ht="12" customHeight="1" x14ac:dyDescent="0.3">
      <c r="A111" s="13">
        <v>2110</v>
      </c>
      <c r="B111" s="14" t="s">
        <v>101</v>
      </c>
      <c r="C111" s="13" t="s">
        <v>401</v>
      </c>
      <c r="D111" s="13" t="s">
        <v>408</v>
      </c>
      <c r="E111" s="13" t="s">
        <v>413</v>
      </c>
      <c r="F111" s="15">
        <v>3686</v>
      </c>
      <c r="G111" s="15">
        <v>994.49</v>
      </c>
      <c r="H111" s="15">
        <f>Table2[[#This Row],[Profit]]/Table2[[#This Row],[Sales]]</f>
        <v>0.26980195333695062</v>
      </c>
    </row>
    <row r="112" spans="1:8" ht="12" customHeight="1" x14ac:dyDescent="0.3">
      <c r="A112" s="13">
        <v>2111</v>
      </c>
      <c r="B112" s="14" t="s">
        <v>102</v>
      </c>
      <c r="C112" s="13" t="s">
        <v>402</v>
      </c>
      <c r="D112" s="13" t="s">
        <v>406</v>
      </c>
      <c r="E112" s="13" t="s">
        <v>411</v>
      </c>
      <c r="F112" s="15">
        <v>19821</v>
      </c>
      <c r="G112" s="15">
        <v>3294.08</v>
      </c>
      <c r="H112" s="15">
        <f>Table2[[#This Row],[Profit]]/Table2[[#This Row],[Sales]]</f>
        <v>0.16619141314767166</v>
      </c>
    </row>
    <row r="113" spans="1:8" ht="12" customHeight="1" x14ac:dyDescent="0.3">
      <c r="A113" s="13">
        <v>2112</v>
      </c>
      <c r="B113" s="14" t="s">
        <v>103</v>
      </c>
      <c r="C113" s="13" t="s">
        <v>401</v>
      </c>
      <c r="D113" s="13" t="s">
        <v>406</v>
      </c>
      <c r="E113" s="13" t="s">
        <v>413</v>
      </c>
      <c r="F113" s="15">
        <v>6236</v>
      </c>
      <c r="G113" s="15">
        <v>1301.9000000000001</v>
      </c>
      <c r="H113" s="15">
        <f>Table2[[#This Row],[Profit]]/Table2[[#This Row],[Sales]]</f>
        <v>0.2087716484926235</v>
      </c>
    </row>
    <row r="114" spans="1:8" ht="12" customHeight="1" x14ac:dyDescent="0.3">
      <c r="A114" s="13">
        <v>2113</v>
      </c>
      <c r="B114" s="14" t="s">
        <v>104</v>
      </c>
      <c r="C114" s="13" t="s">
        <v>403</v>
      </c>
      <c r="D114" s="13" t="s">
        <v>410</v>
      </c>
      <c r="E114" s="13" t="s">
        <v>411</v>
      </c>
      <c r="F114" s="15">
        <v>27237</v>
      </c>
      <c r="G114" s="15">
        <v>4954.01</v>
      </c>
      <c r="H114" s="15">
        <f>Table2[[#This Row],[Profit]]/Table2[[#This Row],[Sales]]</f>
        <v>0.18188530308036863</v>
      </c>
    </row>
    <row r="115" spans="1:8" ht="12" customHeight="1" x14ac:dyDescent="0.3">
      <c r="A115" s="13">
        <v>2114</v>
      </c>
      <c r="B115" s="14" t="s">
        <v>22</v>
      </c>
      <c r="C115" s="13" t="s">
        <v>404</v>
      </c>
      <c r="D115" s="13" t="s">
        <v>410</v>
      </c>
      <c r="E115" s="13" t="s">
        <v>413</v>
      </c>
      <c r="F115" s="15">
        <v>27652</v>
      </c>
      <c r="G115" s="15">
        <v>5223.72</v>
      </c>
      <c r="H115" s="15">
        <f>Table2[[#This Row],[Profit]]/Table2[[#This Row],[Sales]]</f>
        <v>0.1889093013163605</v>
      </c>
    </row>
    <row r="116" spans="1:8" ht="12" customHeight="1" x14ac:dyDescent="0.3">
      <c r="A116" s="13">
        <v>2115</v>
      </c>
      <c r="B116" s="14" t="s">
        <v>105</v>
      </c>
      <c r="C116" s="13" t="s">
        <v>401</v>
      </c>
      <c r="D116" s="13" t="s">
        <v>405</v>
      </c>
      <c r="E116" s="13" t="s">
        <v>412</v>
      </c>
      <c r="F116" s="15">
        <v>8397</v>
      </c>
      <c r="G116" s="15">
        <v>1336.27</v>
      </c>
      <c r="H116" s="15">
        <f>Table2[[#This Row],[Profit]]/Table2[[#This Row],[Sales]]</f>
        <v>0.15913659640347744</v>
      </c>
    </row>
    <row r="117" spans="1:8" ht="12" customHeight="1" x14ac:dyDescent="0.3">
      <c r="A117" s="13">
        <v>2116</v>
      </c>
      <c r="B117" s="14" t="s">
        <v>106</v>
      </c>
      <c r="C117" s="13" t="s">
        <v>402</v>
      </c>
      <c r="D117" s="13" t="s">
        <v>410</v>
      </c>
      <c r="E117" s="13" t="s">
        <v>412</v>
      </c>
      <c r="F117" s="15">
        <v>17577</v>
      </c>
      <c r="G117" s="15">
        <v>4776.8500000000004</v>
      </c>
      <c r="H117" s="15">
        <f>Table2[[#This Row],[Profit]]/Table2[[#This Row],[Sales]]</f>
        <v>0.27176708198213578</v>
      </c>
    </row>
    <row r="118" spans="1:8" ht="12" customHeight="1" x14ac:dyDescent="0.3">
      <c r="A118" s="13">
        <v>2117</v>
      </c>
      <c r="B118" s="14" t="s">
        <v>107</v>
      </c>
      <c r="C118" s="13" t="s">
        <v>404</v>
      </c>
      <c r="D118" s="13" t="s">
        <v>410</v>
      </c>
      <c r="E118" s="13" t="s">
        <v>412</v>
      </c>
      <c r="F118" s="15">
        <v>7598</v>
      </c>
      <c r="G118" s="15">
        <v>799.47</v>
      </c>
      <c r="H118" s="15">
        <f>Table2[[#This Row],[Profit]]/Table2[[#This Row],[Sales]]</f>
        <v>0.10522111081863648</v>
      </c>
    </row>
    <row r="119" spans="1:8" ht="12" customHeight="1" x14ac:dyDescent="0.3">
      <c r="A119" s="13">
        <v>2118</v>
      </c>
      <c r="B119" s="14" t="s">
        <v>108</v>
      </c>
      <c r="C119" s="13" t="s">
        <v>401</v>
      </c>
      <c r="D119" s="13" t="s">
        <v>410</v>
      </c>
      <c r="E119" s="13" t="s">
        <v>413</v>
      </c>
      <c r="F119" s="15">
        <v>28193</v>
      </c>
      <c r="G119" s="15">
        <v>5659.36</v>
      </c>
      <c r="H119" s="15">
        <f>Table2[[#This Row],[Profit]]/Table2[[#This Row],[Sales]]</f>
        <v>0.20073635299542439</v>
      </c>
    </row>
    <row r="120" spans="1:8" ht="12" customHeight="1" x14ac:dyDescent="0.3">
      <c r="A120" s="13">
        <v>2119</v>
      </c>
      <c r="B120" s="14" t="s">
        <v>109</v>
      </c>
      <c r="C120" s="13" t="s">
        <v>402</v>
      </c>
      <c r="D120" s="13" t="s">
        <v>406</v>
      </c>
      <c r="E120" s="13" t="s">
        <v>412</v>
      </c>
      <c r="F120" s="15">
        <v>6316</v>
      </c>
      <c r="G120" s="15">
        <v>1081.08</v>
      </c>
      <c r="H120" s="15">
        <f>Table2[[#This Row],[Profit]]/Table2[[#This Row],[Sales]]</f>
        <v>0.17116529449018364</v>
      </c>
    </row>
    <row r="121" spans="1:8" ht="12" customHeight="1" x14ac:dyDescent="0.3">
      <c r="A121" s="13">
        <v>2120</v>
      </c>
      <c r="B121" s="14" t="s">
        <v>110</v>
      </c>
      <c r="C121" s="13" t="s">
        <v>402</v>
      </c>
      <c r="D121" s="13" t="s">
        <v>406</v>
      </c>
      <c r="E121" s="13" t="s">
        <v>413</v>
      </c>
      <c r="F121" s="15">
        <v>23614</v>
      </c>
      <c r="G121" s="15">
        <v>5429.24</v>
      </c>
      <c r="H121" s="15">
        <f>Table2[[#This Row],[Profit]]/Table2[[#This Row],[Sales]]</f>
        <v>0.22991615143558905</v>
      </c>
    </row>
    <row r="122" spans="1:8" ht="12" customHeight="1" x14ac:dyDescent="0.3">
      <c r="A122" s="13">
        <v>2121</v>
      </c>
      <c r="B122" s="14" t="s">
        <v>107</v>
      </c>
      <c r="C122" s="13" t="s">
        <v>404</v>
      </c>
      <c r="D122" s="13" t="s">
        <v>408</v>
      </c>
      <c r="E122" s="13" t="s">
        <v>411</v>
      </c>
      <c r="F122" s="15">
        <v>10728</v>
      </c>
      <c r="G122" s="15">
        <v>1577.32</v>
      </c>
      <c r="H122" s="15">
        <f>Table2[[#This Row],[Profit]]/Table2[[#This Row],[Sales]]</f>
        <v>0.14702833706189411</v>
      </c>
    </row>
    <row r="123" spans="1:8" ht="12" customHeight="1" x14ac:dyDescent="0.3">
      <c r="A123" s="13">
        <v>2122</v>
      </c>
      <c r="B123" s="14" t="s">
        <v>111</v>
      </c>
      <c r="C123" s="13" t="s">
        <v>402</v>
      </c>
      <c r="D123" s="13" t="s">
        <v>405</v>
      </c>
      <c r="E123" s="13" t="s">
        <v>412</v>
      </c>
      <c r="F123" s="15">
        <v>14877</v>
      </c>
      <c r="G123" s="15">
        <v>3778.55</v>
      </c>
      <c r="H123" s="15">
        <f>Table2[[#This Row],[Profit]]/Table2[[#This Row],[Sales]]</f>
        <v>0.25398601868656318</v>
      </c>
    </row>
    <row r="124" spans="1:8" ht="12" customHeight="1" x14ac:dyDescent="0.3">
      <c r="A124" s="13">
        <v>2123</v>
      </c>
      <c r="B124" s="14" t="s">
        <v>83</v>
      </c>
      <c r="C124" s="13" t="s">
        <v>404</v>
      </c>
      <c r="D124" s="13" t="s">
        <v>410</v>
      </c>
      <c r="E124" s="13" t="s">
        <v>413</v>
      </c>
      <c r="F124" s="15">
        <v>29472</v>
      </c>
      <c r="G124" s="15">
        <v>4385.79</v>
      </c>
      <c r="H124" s="15">
        <f>Table2[[#This Row],[Profit]]/Table2[[#This Row],[Sales]]</f>
        <v>0.14881209283387622</v>
      </c>
    </row>
    <row r="125" spans="1:8" ht="12" customHeight="1" x14ac:dyDescent="0.3">
      <c r="A125" s="13">
        <v>2124</v>
      </c>
      <c r="B125" s="14" t="s">
        <v>95</v>
      </c>
      <c r="C125" s="13" t="s">
        <v>404</v>
      </c>
      <c r="D125" s="13" t="s">
        <v>410</v>
      </c>
      <c r="E125" s="13" t="s">
        <v>413</v>
      </c>
      <c r="F125" s="15">
        <v>7396</v>
      </c>
      <c r="G125" s="15">
        <v>1950.67</v>
      </c>
      <c r="H125" s="15">
        <f>Table2[[#This Row],[Profit]]/Table2[[#This Row],[Sales]]</f>
        <v>0.26374661979448349</v>
      </c>
    </row>
    <row r="126" spans="1:8" ht="12" customHeight="1" x14ac:dyDescent="0.3">
      <c r="A126" s="13">
        <v>2125</v>
      </c>
      <c r="B126" s="14" t="s">
        <v>70</v>
      </c>
      <c r="C126" s="13" t="s">
        <v>402</v>
      </c>
      <c r="D126" s="13" t="s">
        <v>405</v>
      </c>
      <c r="E126" s="13" t="s">
        <v>413</v>
      </c>
      <c r="F126" s="15">
        <v>24199</v>
      </c>
      <c r="G126" s="15">
        <v>6012.03</v>
      </c>
      <c r="H126" s="15">
        <f>Table2[[#This Row],[Profit]]/Table2[[#This Row],[Sales]]</f>
        <v>0.24844125790321914</v>
      </c>
    </row>
    <row r="127" spans="1:8" ht="12" customHeight="1" x14ac:dyDescent="0.3">
      <c r="A127" s="13">
        <v>2126</v>
      </c>
      <c r="B127" s="14" t="s">
        <v>112</v>
      </c>
      <c r="C127" s="13" t="s">
        <v>401</v>
      </c>
      <c r="D127" s="13" t="s">
        <v>408</v>
      </c>
      <c r="E127" s="13" t="s">
        <v>412</v>
      </c>
      <c r="F127" s="15">
        <v>20792</v>
      </c>
      <c r="G127" s="15">
        <v>5570.9</v>
      </c>
      <c r="H127" s="15">
        <f>Table2[[#This Row],[Profit]]/Table2[[#This Row],[Sales]]</f>
        <v>0.26793478260869563</v>
      </c>
    </row>
    <row r="128" spans="1:8" ht="12" customHeight="1" x14ac:dyDescent="0.3">
      <c r="A128" s="13">
        <v>2127</v>
      </c>
      <c r="B128" s="14" t="s">
        <v>113</v>
      </c>
      <c r="C128" s="13" t="s">
        <v>403</v>
      </c>
      <c r="D128" s="13" t="s">
        <v>407</v>
      </c>
      <c r="E128" s="13" t="s">
        <v>411</v>
      </c>
      <c r="F128" s="15">
        <v>28726</v>
      </c>
      <c r="G128" s="15">
        <v>5730.64</v>
      </c>
      <c r="H128" s="15">
        <f>Table2[[#This Row],[Profit]]/Table2[[#This Row],[Sales]]</f>
        <v>0.19949314210123234</v>
      </c>
    </row>
    <row r="129" spans="1:8" ht="12" customHeight="1" x14ac:dyDescent="0.3">
      <c r="A129" s="13">
        <v>2128</v>
      </c>
      <c r="B129" s="14" t="s">
        <v>114</v>
      </c>
      <c r="C129" s="13" t="s">
        <v>401</v>
      </c>
      <c r="D129" s="13" t="s">
        <v>406</v>
      </c>
      <c r="E129" s="13" t="s">
        <v>411</v>
      </c>
      <c r="F129" s="15">
        <v>12178</v>
      </c>
      <c r="G129" s="15">
        <v>2777.49</v>
      </c>
      <c r="H129" s="15">
        <f>Table2[[#This Row],[Profit]]/Table2[[#This Row],[Sales]]</f>
        <v>0.22807439645261945</v>
      </c>
    </row>
    <row r="130" spans="1:8" ht="12" customHeight="1" x14ac:dyDescent="0.3">
      <c r="A130" s="13">
        <v>2129</v>
      </c>
      <c r="B130" s="14" t="s">
        <v>115</v>
      </c>
      <c r="C130" s="13" t="s">
        <v>403</v>
      </c>
      <c r="D130" s="13" t="s">
        <v>405</v>
      </c>
      <c r="E130" s="13" t="s">
        <v>412</v>
      </c>
      <c r="F130" s="15">
        <v>19846</v>
      </c>
      <c r="G130" s="15">
        <v>4490.3599999999997</v>
      </c>
      <c r="H130" s="15">
        <f>Table2[[#This Row],[Profit]]/Table2[[#This Row],[Sales]]</f>
        <v>0.22626020356746951</v>
      </c>
    </row>
    <row r="131" spans="1:8" ht="12" customHeight="1" x14ac:dyDescent="0.3">
      <c r="A131" s="13">
        <v>2130</v>
      </c>
      <c r="B131" s="14" t="s">
        <v>24</v>
      </c>
      <c r="C131" s="13" t="s">
        <v>402</v>
      </c>
      <c r="D131" s="13" t="s">
        <v>409</v>
      </c>
      <c r="E131" s="13" t="s">
        <v>412</v>
      </c>
      <c r="F131" s="15">
        <v>26367</v>
      </c>
      <c r="G131" s="15">
        <v>3833.9</v>
      </c>
      <c r="H131" s="15">
        <f>Table2[[#This Row],[Profit]]/Table2[[#This Row],[Sales]]</f>
        <v>0.14540524140023514</v>
      </c>
    </row>
    <row r="132" spans="1:8" ht="12" customHeight="1" x14ac:dyDescent="0.3">
      <c r="A132" s="13">
        <v>2131</v>
      </c>
      <c r="B132" s="14" t="s">
        <v>116</v>
      </c>
      <c r="C132" s="13" t="s">
        <v>401</v>
      </c>
      <c r="D132" s="13" t="s">
        <v>409</v>
      </c>
      <c r="E132" s="13" t="s">
        <v>411</v>
      </c>
      <c r="F132" s="15">
        <v>6539</v>
      </c>
      <c r="G132" s="15">
        <v>1921.59</v>
      </c>
      <c r="H132" s="15">
        <f>Table2[[#This Row],[Profit]]/Table2[[#This Row],[Sales]]</f>
        <v>0.29386603456185961</v>
      </c>
    </row>
    <row r="133" spans="1:8" ht="12" customHeight="1" x14ac:dyDescent="0.3">
      <c r="A133" s="13">
        <v>2132</v>
      </c>
      <c r="B133" s="14" t="s">
        <v>10</v>
      </c>
      <c r="C133" s="13" t="s">
        <v>404</v>
      </c>
      <c r="D133" s="13" t="s">
        <v>408</v>
      </c>
      <c r="E133" s="13" t="s">
        <v>411</v>
      </c>
      <c r="F133" s="15">
        <v>8431</v>
      </c>
      <c r="G133" s="15">
        <v>823.52</v>
      </c>
      <c r="H133" s="15">
        <f>Table2[[#This Row],[Profit]]/Table2[[#This Row],[Sales]]</f>
        <v>9.7677618313367326E-2</v>
      </c>
    </row>
    <row r="134" spans="1:8" ht="12" customHeight="1" x14ac:dyDescent="0.3">
      <c r="A134" s="13">
        <v>2133</v>
      </c>
      <c r="B134" s="14" t="s">
        <v>24</v>
      </c>
      <c r="C134" s="13" t="s">
        <v>403</v>
      </c>
      <c r="D134" s="13" t="s">
        <v>410</v>
      </c>
      <c r="E134" s="13" t="s">
        <v>413</v>
      </c>
      <c r="F134" s="15">
        <v>8041</v>
      </c>
      <c r="G134" s="15">
        <v>2332.5</v>
      </c>
      <c r="H134" s="15">
        <f>Table2[[#This Row],[Profit]]/Table2[[#This Row],[Sales]]</f>
        <v>0.29007586121129214</v>
      </c>
    </row>
    <row r="135" spans="1:8" ht="12" customHeight="1" x14ac:dyDescent="0.3">
      <c r="A135" s="13">
        <v>2134</v>
      </c>
      <c r="B135" s="14" t="s">
        <v>117</v>
      </c>
      <c r="C135" s="13" t="s">
        <v>404</v>
      </c>
      <c r="D135" s="13" t="s">
        <v>409</v>
      </c>
      <c r="E135" s="13" t="s">
        <v>411</v>
      </c>
      <c r="F135" s="15">
        <v>23647</v>
      </c>
      <c r="G135" s="15">
        <v>5404.3</v>
      </c>
      <c r="H135" s="15">
        <f>Table2[[#This Row],[Profit]]/Table2[[#This Row],[Sales]]</f>
        <v>0.22854061826024444</v>
      </c>
    </row>
    <row r="136" spans="1:8" ht="12" customHeight="1" x14ac:dyDescent="0.3">
      <c r="A136" s="13">
        <v>2135</v>
      </c>
      <c r="B136" s="14" t="s">
        <v>118</v>
      </c>
      <c r="C136" s="13" t="s">
        <v>404</v>
      </c>
      <c r="D136" s="13" t="s">
        <v>406</v>
      </c>
      <c r="E136" s="13" t="s">
        <v>412</v>
      </c>
      <c r="F136" s="15">
        <v>14986</v>
      </c>
      <c r="G136" s="15">
        <v>1222.54</v>
      </c>
      <c r="H136" s="15">
        <f>Table2[[#This Row],[Profit]]/Table2[[#This Row],[Sales]]</f>
        <v>8.1578806886427324E-2</v>
      </c>
    </row>
    <row r="137" spans="1:8" ht="12" customHeight="1" x14ac:dyDescent="0.3">
      <c r="A137" s="13">
        <v>2136</v>
      </c>
      <c r="B137" s="14" t="s">
        <v>119</v>
      </c>
      <c r="C137" s="13" t="s">
        <v>402</v>
      </c>
      <c r="D137" s="13" t="s">
        <v>410</v>
      </c>
      <c r="E137" s="13" t="s">
        <v>411</v>
      </c>
      <c r="F137" s="15">
        <v>15981</v>
      </c>
      <c r="G137" s="15">
        <v>4614.21</v>
      </c>
      <c r="H137" s="15">
        <f>Table2[[#This Row],[Profit]]/Table2[[#This Row],[Sales]]</f>
        <v>0.28873099305425193</v>
      </c>
    </row>
    <row r="138" spans="1:8" ht="12" customHeight="1" x14ac:dyDescent="0.3">
      <c r="A138" s="13">
        <v>2137</v>
      </c>
      <c r="B138" s="14" t="s">
        <v>53</v>
      </c>
      <c r="C138" s="13" t="s">
        <v>403</v>
      </c>
      <c r="D138" s="13" t="s">
        <v>410</v>
      </c>
      <c r="E138" s="13" t="s">
        <v>411</v>
      </c>
      <c r="F138" s="15">
        <v>10601</v>
      </c>
      <c r="G138" s="15">
        <v>1450.21</v>
      </c>
      <c r="H138" s="15">
        <f>Table2[[#This Row],[Profit]]/Table2[[#This Row],[Sales]]</f>
        <v>0.13679935855108008</v>
      </c>
    </row>
    <row r="139" spans="1:8" ht="12" customHeight="1" x14ac:dyDescent="0.3">
      <c r="A139" s="13">
        <v>2138</v>
      </c>
      <c r="B139" s="14" t="s">
        <v>69</v>
      </c>
      <c r="C139" s="13" t="s">
        <v>401</v>
      </c>
      <c r="D139" s="13" t="s">
        <v>409</v>
      </c>
      <c r="E139" s="13" t="s">
        <v>413</v>
      </c>
      <c r="F139" s="15">
        <v>3857</v>
      </c>
      <c r="G139" s="15">
        <v>355.83</v>
      </c>
      <c r="H139" s="15">
        <f>Table2[[#This Row],[Profit]]/Table2[[#This Row],[Sales]]</f>
        <v>9.2255639097744355E-2</v>
      </c>
    </row>
    <row r="140" spans="1:8" ht="12" customHeight="1" x14ac:dyDescent="0.3">
      <c r="A140" s="13">
        <v>2139</v>
      </c>
      <c r="B140" s="14" t="s">
        <v>50</v>
      </c>
      <c r="C140" s="13" t="s">
        <v>402</v>
      </c>
      <c r="D140" s="13" t="s">
        <v>409</v>
      </c>
      <c r="E140" s="13" t="s">
        <v>411</v>
      </c>
      <c r="F140" s="15">
        <v>3468</v>
      </c>
      <c r="G140" s="15">
        <v>438.93</v>
      </c>
      <c r="H140" s="15">
        <f>Table2[[#This Row],[Profit]]/Table2[[#This Row],[Sales]]</f>
        <v>0.12656574394463668</v>
      </c>
    </row>
    <row r="141" spans="1:8" ht="12" customHeight="1" x14ac:dyDescent="0.3">
      <c r="A141" s="13">
        <v>2140</v>
      </c>
      <c r="B141" s="14" t="s">
        <v>102</v>
      </c>
      <c r="C141" s="13" t="s">
        <v>401</v>
      </c>
      <c r="D141" s="13" t="s">
        <v>410</v>
      </c>
      <c r="E141" s="13" t="s">
        <v>412</v>
      </c>
      <c r="F141" s="15">
        <v>11848</v>
      </c>
      <c r="G141" s="15">
        <v>2855.86</v>
      </c>
      <c r="H141" s="15">
        <f>Table2[[#This Row],[Profit]]/Table2[[#This Row],[Sales]]</f>
        <v>0.24104152599594869</v>
      </c>
    </row>
    <row r="142" spans="1:8" ht="12" customHeight="1" x14ac:dyDescent="0.3">
      <c r="A142" s="13">
        <v>2141</v>
      </c>
      <c r="B142" s="14" t="s">
        <v>44</v>
      </c>
      <c r="C142" s="13" t="s">
        <v>402</v>
      </c>
      <c r="D142" s="13" t="s">
        <v>405</v>
      </c>
      <c r="E142" s="13" t="s">
        <v>413</v>
      </c>
      <c r="F142" s="15">
        <v>16212</v>
      </c>
      <c r="G142" s="15">
        <v>4411.8</v>
      </c>
      <c r="H142" s="15">
        <f>Table2[[#This Row],[Profit]]/Table2[[#This Row],[Sales]]</f>
        <v>0.27213175425610658</v>
      </c>
    </row>
    <row r="143" spans="1:8" ht="12" customHeight="1" x14ac:dyDescent="0.3">
      <c r="A143" s="13">
        <v>2142</v>
      </c>
      <c r="B143" s="14" t="s">
        <v>11</v>
      </c>
      <c r="C143" s="13" t="s">
        <v>401</v>
      </c>
      <c r="D143" s="13" t="s">
        <v>410</v>
      </c>
      <c r="E143" s="13" t="s">
        <v>412</v>
      </c>
      <c r="F143" s="15">
        <v>26979</v>
      </c>
      <c r="G143" s="15">
        <v>2369.46</v>
      </c>
      <c r="H143" s="15">
        <f>Table2[[#This Row],[Profit]]/Table2[[#This Row],[Sales]]</f>
        <v>8.7826086956521734E-2</v>
      </c>
    </row>
    <row r="144" spans="1:8" ht="12" customHeight="1" x14ac:dyDescent="0.3">
      <c r="A144" s="13">
        <v>2143</v>
      </c>
      <c r="B144" s="14" t="s">
        <v>120</v>
      </c>
      <c r="C144" s="13" t="s">
        <v>401</v>
      </c>
      <c r="D144" s="13" t="s">
        <v>405</v>
      </c>
      <c r="E144" s="13" t="s">
        <v>411</v>
      </c>
      <c r="F144" s="15">
        <v>25307</v>
      </c>
      <c r="G144" s="15">
        <v>2160.79</v>
      </c>
      <c r="H144" s="15">
        <f>Table2[[#This Row],[Profit]]/Table2[[#This Row],[Sales]]</f>
        <v>8.5383095586201441E-2</v>
      </c>
    </row>
    <row r="145" spans="1:8" ht="12" customHeight="1" x14ac:dyDescent="0.3">
      <c r="A145" s="13">
        <v>2144</v>
      </c>
      <c r="B145" s="14" t="s">
        <v>64</v>
      </c>
      <c r="C145" s="13" t="s">
        <v>402</v>
      </c>
      <c r="D145" s="13" t="s">
        <v>409</v>
      </c>
      <c r="E145" s="13" t="s">
        <v>411</v>
      </c>
      <c r="F145" s="15">
        <v>4368</v>
      </c>
      <c r="G145" s="15">
        <v>877.69</v>
      </c>
      <c r="H145" s="15">
        <f>Table2[[#This Row],[Profit]]/Table2[[#This Row],[Sales]]</f>
        <v>0.20093635531135531</v>
      </c>
    </row>
    <row r="146" spans="1:8" ht="12" customHeight="1" x14ac:dyDescent="0.3">
      <c r="A146" s="13">
        <v>2145</v>
      </c>
      <c r="B146" s="14" t="s">
        <v>121</v>
      </c>
      <c r="C146" s="13" t="s">
        <v>403</v>
      </c>
      <c r="D146" s="13" t="s">
        <v>406</v>
      </c>
      <c r="E146" s="13" t="s">
        <v>412</v>
      </c>
      <c r="F146" s="15">
        <v>29287</v>
      </c>
      <c r="G146" s="15">
        <v>4819.0600000000004</v>
      </c>
      <c r="H146" s="15">
        <f>Table2[[#This Row],[Profit]]/Table2[[#This Row],[Sales]]</f>
        <v>0.16454604432000547</v>
      </c>
    </row>
    <row r="147" spans="1:8" ht="12" customHeight="1" x14ac:dyDescent="0.3">
      <c r="A147" s="13">
        <v>2146</v>
      </c>
      <c r="B147" s="14" t="s">
        <v>89</v>
      </c>
      <c r="C147" s="13" t="s">
        <v>402</v>
      </c>
      <c r="D147" s="13" t="s">
        <v>407</v>
      </c>
      <c r="E147" s="13" t="s">
        <v>413</v>
      </c>
      <c r="F147" s="15">
        <v>16232</v>
      </c>
      <c r="G147" s="15">
        <v>2272.7800000000002</v>
      </c>
      <c r="H147" s="15">
        <f>Table2[[#This Row],[Profit]]/Table2[[#This Row],[Sales]]</f>
        <v>0.1400184820108428</v>
      </c>
    </row>
    <row r="148" spans="1:8" ht="12" customHeight="1" x14ac:dyDescent="0.3">
      <c r="A148" s="13">
        <v>2147</v>
      </c>
      <c r="B148" s="14" t="s">
        <v>122</v>
      </c>
      <c r="C148" s="13" t="s">
        <v>402</v>
      </c>
      <c r="D148" s="13" t="s">
        <v>405</v>
      </c>
      <c r="E148" s="13" t="s">
        <v>413</v>
      </c>
      <c r="F148" s="15">
        <v>20456</v>
      </c>
      <c r="G148" s="15">
        <v>1774.32</v>
      </c>
      <c r="H148" s="15">
        <f>Table2[[#This Row],[Profit]]/Table2[[#This Row],[Sales]]</f>
        <v>8.6738365271802897E-2</v>
      </c>
    </row>
    <row r="149" spans="1:8" ht="12" customHeight="1" x14ac:dyDescent="0.3">
      <c r="A149" s="13">
        <v>2148</v>
      </c>
      <c r="B149" s="14" t="s">
        <v>123</v>
      </c>
      <c r="C149" s="13" t="s">
        <v>401</v>
      </c>
      <c r="D149" s="13" t="s">
        <v>406</v>
      </c>
      <c r="E149" s="13" t="s">
        <v>413</v>
      </c>
      <c r="F149" s="15">
        <v>29991</v>
      </c>
      <c r="G149" s="15">
        <v>8376.2999999999993</v>
      </c>
      <c r="H149" s="15">
        <f>Table2[[#This Row],[Profit]]/Table2[[#This Row],[Sales]]</f>
        <v>0.2792937881364409</v>
      </c>
    </row>
    <row r="150" spans="1:8" ht="12" customHeight="1" x14ac:dyDescent="0.3">
      <c r="A150" s="13">
        <v>2149</v>
      </c>
      <c r="B150" s="14" t="s">
        <v>124</v>
      </c>
      <c r="C150" s="13" t="s">
        <v>401</v>
      </c>
      <c r="D150" s="13" t="s">
        <v>410</v>
      </c>
      <c r="E150" s="13" t="s">
        <v>413</v>
      </c>
      <c r="F150" s="15">
        <v>28723</v>
      </c>
      <c r="G150" s="15">
        <v>6732.17</v>
      </c>
      <c r="H150" s="15">
        <f>Table2[[#This Row],[Profit]]/Table2[[#This Row],[Sales]]</f>
        <v>0.23438255056923024</v>
      </c>
    </row>
    <row r="151" spans="1:8" ht="12" customHeight="1" x14ac:dyDescent="0.3">
      <c r="A151" s="13">
        <v>2150</v>
      </c>
      <c r="B151" s="14" t="s">
        <v>79</v>
      </c>
      <c r="C151" s="13" t="s">
        <v>403</v>
      </c>
      <c r="D151" s="13" t="s">
        <v>409</v>
      </c>
      <c r="E151" s="13" t="s">
        <v>411</v>
      </c>
      <c r="F151" s="15">
        <v>28371</v>
      </c>
      <c r="G151" s="15">
        <v>8318.2900000000009</v>
      </c>
      <c r="H151" s="15">
        <f>Table2[[#This Row],[Profit]]/Table2[[#This Row],[Sales]]</f>
        <v>0.29319692643896939</v>
      </c>
    </row>
    <row r="152" spans="1:8" ht="12" customHeight="1" x14ac:dyDescent="0.3">
      <c r="A152" s="13">
        <v>2151</v>
      </c>
      <c r="B152" s="14" t="s">
        <v>125</v>
      </c>
      <c r="C152" s="13" t="s">
        <v>404</v>
      </c>
      <c r="D152" s="13" t="s">
        <v>407</v>
      </c>
      <c r="E152" s="13" t="s">
        <v>411</v>
      </c>
      <c r="F152" s="15">
        <v>6778</v>
      </c>
      <c r="G152" s="15">
        <v>1715.36</v>
      </c>
      <c r="H152" s="15">
        <f>Table2[[#This Row],[Profit]]/Table2[[#This Row],[Sales]]</f>
        <v>0.25307760401298318</v>
      </c>
    </row>
    <row r="153" spans="1:8" ht="12" customHeight="1" x14ac:dyDescent="0.3">
      <c r="A153" s="13">
        <v>2152</v>
      </c>
      <c r="B153" s="14" t="s">
        <v>126</v>
      </c>
      <c r="C153" s="13" t="s">
        <v>404</v>
      </c>
      <c r="D153" s="13" t="s">
        <v>409</v>
      </c>
      <c r="E153" s="13" t="s">
        <v>413</v>
      </c>
      <c r="F153" s="15">
        <v>17584</v>
      </c>
      <c r="G153" s="15">
        <v>4424.03</v>
      </c>
      <c r="H153" s="15">
        <f>Table2[[#This Row],[Profit]]/Table2[[#This Row],[Sales]]</f>
        <v>0.25159406278434937</v>
      </c>
    </row>
    <row r="154" spans="1:8" ht="12" customHeight="1" x14ac:dyDescent="0.3">
      <c r="A154" s="13">
        <v>2153</v>
      </c>
      <c r="B154" s="14" t="s">
        <v>127</v>
      </c>
      <c r="C154" s="13" t="s">
        <v>403</v>
      </c>
      <c r="D154" s="13" t="s">
        <v>406</v>
      </c>
      <c r="E154" s="13" t="s">
        <v>412</v>
      </c>
      <c r="F154" s="15">
        <v>13187</v>
      </c>
      <c r="G154" s="15">
        <v>3268.43</v>
      </c>
      <c r="H154" s="15">
        <f>Table2[[#This Row],[Profit]]/Table2[[#This Row],[Sales]]</f>
        <v>0.24785243042390231</v>
      </c>
    </row>
    <row r="155" spans="1:8" ht="12" customHeight="1" x14ac:dyDescent="0.3">
      <c r="A155" s="13">
        <v>2154</v>
      </c>
      <c r="B155" s="14" t="s">
        <v>58</v>
      </c>
      <c r="C155" s="13" t="s">
        <v>401</v>
      </c>
      <c r="D155" s="13" t="s">
        <v>410</v>
      </c>
      <c r="E155" s="13" t="s">
        <v>411</v>
      </c>
      <c r="F155" s="15">
        <v>10366</v>
      </c>
      <c r="G155" s="15">
        <v>1124.73</v>
      </c>
      <c r="H155" s="15">
        <f>Table2[[#This Row],[Profit]]/Table2[[#This Row],[Sales]]</f>
        <v>0.10850183291530002</v>
      </c>
    </row>
    <row r="156" spans="1:8" ht="12" customHeight="1" x14ac:dyDescent="0.3">
      <c r="A156" s="13">
        <v>2155</v>
      </c>
      <c r="B156" s="14" t="s">
        <v>88</v>
      </c>
      <c r="C156" s="13" t="s">
        <v>404</v>
      </c>
      <c r="D156" s="13" t="s">
        <v>409</v>
      </c>
      <c r="E156" s="13" t="s">
        <v>411</v>
      </c>
      <c r="F156" s="15">
        <v>3948</v>
      </c>
      <c r="G156" s="15">
        <v>344.44</v>
      </c>
      <c r="H156" s="15">
        <f>Table2[[#This Row],[Profit]]/Table2[[#This Row],[Sales]]</f>
        <v>8.7244174265450863E-2</v>
      </c>
    </row>
    <row r="157" spans="1:8" ht="12" customHeight="1" x14ac:dyDescent="0.3">
      <c r="A157" s="13">
        <v>2156</v>
      </c>
      <c r="B157" s="14" t="s">
        <v>13</v>
      </c>
      <c r="C157" s="13" t="s">
        <v>401</v>
      </c>
      <c r="D157" s="13" t="s">
        <v>409</v>
      </c>
      <c r="E157" s="13" t="s">
        <v>411</v>
      </c>
      <c r="F157" s="15">
        <v>1094</v>
      </c>
      <c r="G157" s="15">
        <v>87.92</v>
      </c>
      <c r="H157" s="15">
        <f>Table2[[#This Row],[Profit]]/Table2[[#This Row],[Sales]]</f>
        <v>8.0365630712979891E-2</v>
      </c>
    </row>
    <row r="158" spans="1:8" ht="12" customHeight="1" x14ac:dyDescent="0.3">
      <c r="A158" s="13">
        <v>2157</v>
      </c>
      <c r="B158" s="14" t="s">
        <v>128</v>
      </c>
      <c r="C158" s="13" t="s">
        <v>401</v>
      </c>
      <c r="D158" s="13" t="s">
        <v>405</v>
      </c>
      <c r="E158" s="13" t="s">
        <v>412</v>
      </c>
      <c r="F158" s="15">
        <v>13723</v>
      </c>
      <c r="G158" s="15">
        <v>3091.66</v>
      </c>
      <c r="H158" s="15">
        <f>Table2[[#This Row],[Profit]]/Table2[[#This Row],[Sales]]</f>
        <v>0.22529038839903809</v>
      </c>
    </row>
    <row r="159" spans="1:8" ht="12" customHeight="1" x14ac:dyDescent="0.3">
      <c r="A159" s="13">
        <v>2158</v>
      </c>
      <c r="B159" s="14" t="s">
        <v>32</v>
      </c>
      <c r="C159" s="13" t="s">
        <v>404</v>
      </c>
      <c r="D159" s="13" t="s">
        <v>407</v>
      </c>
      <c r="E159" s="13" t="s">
        <v>412</v>
      </c>
      <c r="F159" s="15">
        <v>28447</v>
      </c>
      <c r="G159" s="15">
        <v>8327.01</v>
      </c>
      <c r="H159" s="15">
        <f>Table2[[#This Row],[Profit]]/Table2[[#This Row],[Sales]]</f>
        <v>0.29272014623686154</v>
      </c>
    </row>
    <row r="160" spans="1:8" ht="12" customHeight="1" x14ac:dyDescent="0.3">
      <c r="A160" s="13">
        <v>2159</v>
      </c>
      <c r="B160" s="14" t="s">
        <v>129</v>
      </c>
      <c r="C160" s="13" t="s">
        <v>401</v>
      </c>
      <c r="D160" s="13" t="s">
        <v>409</v>
      </c>
      <c r="E160" s="13" t="s">
        <v>411</v>
      </c>
      <c r="F160" s="15">
        <v>9165</v>
      </c>
      <c r="G160" s="15">
        <v>1208.1500000000001</v>
      </c>
      <c r="H160" s="15">
        <f>Table2[[#This Row],[Profit]]/Table2[[#This Row],[Sales]]</f>
        <v>0.13182214948172397</v>
      </c>
    </row>
    <row r="161" spans="1:8" ht="12" customHeight="1" x14ac:dyDescent="0.3">
      <c r="A161" s="13">
        <v>2160</v>
      </c>
      <c r="B161" s="14" t="s">
        <v>122</v>
      </c>
      <c r="C161" s="13" t="s">
        <v>401</v>
      </c>
      <c r="D161" s="13" t="s">
        <v>409</v>
      </c>
      <c r="E161" s="13" t="s">
        <v>413</v>
      </c>
      <c r="F161" s="15">
        <v>27569</v>
      </c>
      <c r="G161" s="15">
        <v>6308</v>
      </c>
      <c r="H161" s="15">
        <f>Table2[[#This Row],[Profit]]/Table2[[#This Row],[Sales]]</f>
        <v>0.22880771881461062</v>
      </c>
    </row>
    <row r="162" spans="1:8" ht="12" customHeight="1" x14ac:dyDescent="0.3">
      <c r="A162" s="13">
        <v>2161</v>
      </c>
      <c r="B162" s="14" t="s">
        <v>130</v>
      </c>
      <c r="C162" s="13" t="s">
        <v>404</v>
      </c>
      <c r="D162" s="13" t="s">
        <v>409</v>
      </c>
      <c r="E162" s="13" t="s">
        <v>413</v>
      </c>
      <c r="F162" s="15">
        <v>29114</v>
      </c>
      <c r="G162" s="15">
        <v>3030.27</v>
      </c>
      <c r="H162" s="15">
        <f>Table2[[#This Row],[Profit]]/Table2[[#This Row],[Sales]]</f>
        <v>0.10408291543587278</v>
      </c>
    </row>
    <row r="163" spans="1:8" ht="12" customHeight="1" x14ac:dyDescent="0.3">
      <c r="A163" s="13">
        <v>2162</v>
      </c>
      <c r="B163" s="14" t="s">
        <v>36</v>
      </c>
      <c r="C163" s="13" t="s">
        <v>404</v>
      </c>
      <c r="D163" s="13" t="s">
        <v>406</v>
      </c>
      <c r="E163" s="13" t="s">
        <v>412</v>
      </c>
      <c r="F163" s="15">
        <v>1650</v>
      </c>
      <c r="G163" s="15">
        <v>404.15</v>
      </c>
      <c r="H163" s="15">
        <f>Table2[[#This Row],[Profit]]/Table2[[#This Row],[Sales]]</f>
        <v>0.24493939393939393</v>
      </c>
    </row>
    <row r="164" spans="1:8" ht="12" customHeight="1" x14ac:dyDescent="0.3">
      <c r="A164" s="13">
        <v>2163</v>
      </c>
      <c r="B164" s="14" t="s">
        <v>128</v>
      </c>
      <c r="C164" s="13" t="s">
        <v>403</v>
      </c>
      <c r="D164" s="13" t="s">
        <v>408</v>
      </c>
      <c r="E164" s="13" t="s">
        <v>411</v>
      </c>
      <c r="F164" s="15">
        <v>23099</v>
      </c>
      <c r="G164" s="15">
        <v>4340.32</v>
      </c>
      <c r="H164" s="15">
        <f>Table2[[#This Row],[Profit]]/Table2[[#This Row],[Sales]]</f>
        <v>0.18790077492532142</v>
      </c>
    </row>
    <row r="165" spans="1:8" ht="12" customHeight="1" x14ac:dyDescent="0.3">
      <c r="A165" s="13">
        <v>2164</v>
      </c>
      <c r="B165" s="14" t="s">
        <v>131</v>
      </c>
      <c r="C165" s="13" t="s">
        <v>402</v>
      </c>
      <c r="D165" s="13" t="s">
        <v>407</v>
      </c>
      <c r="E165" s="13" t="s">
        <v>412</v>
      </c>
      <c r="F165" s="15">
        <v>18000</v>
      </c>
      <c r="G165" s="15">
        <v>2540.9899999999998</v>
      </c>
      <c r="H165" s="15">
        <f>Table2[[#This Row],[Profit]]/Table2[[#This Row],[Sales]]</f>
        <v>0.1411661111111111</v>
      </c>
    </row>
    <row r="166" spans="1:8" ht="12" customHeight="1" x14ac:dyDescent="0.3">
      <c r="A166" s="13">
        <v>2165</v>
      </c>
      <c r="B166" s="14" t="s">
        <v>132</v>
      </c>
      <c r="C166" s="13" t="s">
        <v>403</v>
      </c>
      <c r="D166" s="13" t="s">
        <v>408</v>
      </c>
      <c r="E166" s="13" t="s">
        <v>411</v>
      </c>
      <c r="F166" s="15">
        <v>3833</v>
      </c>
      <c r="G166" s="15">
        <v>1067.68</v>
      </c>
      <c r="H166" s="15">
        <f>Table2[[#This Row],[Profit]]/Table2[[#This Row],[Sales]]</f>
        <v>0.2785494390816593</v>
      </c>
    </row>
    <row r="167" spans="1:8" ht="12" customHeight="1" x14ac:dyDescent="0.3">
      <c r="A167" s="13">
        <v>2166</v>
      </c>
      <c r="B167" s="14" t="s">
        <v>133</v>
      </c>
      <c r="C167" s="13" t="s">
        <v>404</v>
      </c>
      <c r="D167" s="13" t="s">
        <v>408</v>
      </c>
      <c r="E167" s="13" t="s">
        <v>413</v>
      </c>
      <c r="F167" s="15">
        <v>5148</v>
      </c>
      <c r="G167" s="15">
        <v>548.79999999999995</v>
      </c>
      <c r="H167" s="15">
        <f>Table2[[#This Row],[Profit]]/Table2[[#This Row],[Sales]]</f>
        <v>0.1066045066045066</v>
      </c>
    </row>
    <row r="168" spans="1:8" ht="12" customHeight="1" x14ac:dyDescent="0.3">
      <c r="A168" s="13">
        <v>2167</v>
      </c>
      <c r="B168" s="14" t="s">
        <v>134</v>
      </c>
      <c r="C168" s="13" t="s">
        <v>403</v>
      </c>
      <c r="D168" s="13" t="s">
        <v>409</v>
      </c>
      <c r="E168" s="13" t="s">
        <v>411</v>
      </c>
      <c r="F168" s="15">
        <v>23586</v>
      </c>
      <c r="G168" s="15">
        <v>2940.55</v>
      </c>
      <c r="H168" s="15">
        <f>Table2[[#This Row],[Profit]]/Table2[[#This Row],[Sales]]</f>
        <v>0.12467353514796914</v>
      </c>
    </row>
    <row r="169" spans="1:8" ht="12" customHeight="1" x14ac:dyDescent="0.3">
      <c r="A169" s="13">
        <v>2168</v>
      </c>
      <c r="B169" s="14" t="s">
        <v>135</v>
      </c>
      <c r="C169" s="13" t="s">
        <v>404</v>
      </c>
      <c r="D169" s="13" t="s">
        <v>409</v>
      </c>
      <c r="E169" s="13" t="s">
        <v>413</v>
      </c>
      <c r="F169" s="15">
        <v>15543</v>
      </c>
      <c r="G169" s="15">
        <v>3905.16</v>
      </c>
      <c r="H169" s="15">
        <f>Table2[[#This Row],[Profit]]/Table2[[#This Row],[Sales]]</f>
        <v>0.25124879366917585</v>
      </c>
    </row>
    <row r="170" spans="1:8" ht="12" customHeight="1" x14ac:dyDescent="0.3">
      <c r="A170" s="13">
        <v>2169</v>
      </c>
      <c r="B170" s="14" t="s">
        <v>28</v>
      </c>
      <c r="C170" s="13" t="s">
        <v>404</v>
      </c>
      <c r="D170" s="13" t="s">
        <v>405</v>
      </c>
      <c r="E170" s="13" t="s">
        <v>411</v>
      </c>
      <c r="F170" s="15">
        <v>3872</v>
      </c>
      <c r="G170" s="15">
        <v>327.99</v>
      </c>
      <c r="H170" s="15">
        <f>Table2[[#This Row],[Profit]]/Table2[[#This Row],[Sales]]</f>
        <v>8.47081611570248E-2</v>
      </c>
    </row>
    <row r="171" spans="1:8" ht="12" customHeight="1" x14ac:dyDescent="0.3">
      <c r="A171" s="13">
        <v>2170</v>
      </c>
      <c r="B171" s="14" t="s">
        <v>132</v>
      </c>
      <c r="C171" s="13" t="s">
        <v>403</v>
      </c>
      <c r="D171" s="13" t="s">
        <v>407</v>
      </c>
      <c r="E171" s="13" t="s">
        <v>412</v>
      </c>
      <c r="F171" s="15">
        <v>5151</v>
      </c>
      <c r="G171" s="15">
        <v>1016.55</v>
      </c>
      <c r="H171" s="15">
        <f>Table2[[#This Row],[Profit]]/Table2[[#This Row],[Sales]]</f>
        <v>0.1973500291205591</v>
      </c>
    </row>
    <row r="172" spans="1:8" ht="12" customHeight="1" x14ac:dyDescent="0.3">
      <c r="A172" s="13">
        <v>2171</v>
      </c>
      <c r="B172" s="14" t="s">
        <v>101</v>
      </c>
      <c r="C172" s="13" t="s">
        <v>404</v>
      </c>
      <c r="D172" s="13" t="s">
        <v>407</v>
      </c>
      <c r="E172" s="13" t="s">
        <v>412</v>
      </c>
      <c r="F172" s="15">
        <v>9174</v>
      </c>
      <c r="G172" s="15">
        <v>1042.3800000000001</v>
      </c>
      <c r="H172" s="15">
        <f>Table2[[#This Row],[Profit]]/Table2[[#This Row],[Sales]]</f>
        <v>0.11362328319162852</v>
      </c>
    </row>
    <row r="173" spans="1:8" ht="12" customHeight="1" x14ac:dyDescent="0.3">
      <c r="A173" s="13">
        <v>2172</v>
      </c>
      <c r="B173" s="14" t="s">
        <v>136</v>
      </c>
      <c r="C173" s="13" t="s">
        <v>402</v>
      </c>
      <c r="D173" s="13" t="s">
        <v>407</v>
      </c>
      <c r="E173" s="13" t="s">
        <v>411</v>
      </c>
      <c r="F173" s="15">
        <v>7462</v>
      </c>
      <c r="G173" s="15">
        <v>719.93</v>
      </c>
      <c r="H173" s="15">
        <f>Table2[[#This Row],[Profit]]/Table2[[#This Row],[Sales]]</f>
        <v>9.6479496113642454E-2</v>
      </c>
    </row>
    <row r="174" spans="1:8" ht="12" customHeight="1" x14ac:dyDescent="0.3">
      <c r="A174" s="13">
        <v>2173</v>
      </c>
      <c r="B174" s="14" t="s">
        <v>137</v>
      </c>
      <c r="C174" s="13" t="s">
        <v>401</v>
      </c>
      <c r="D174" s="13" t="s">
        <v>406</v>
      </c>
      <c r="E174" s="13" t="s">
        <v>412</v>
      </c>
      <c r="F174" s="15">
        <v>15060</v>
      </c>
      <c r="G174" s="15">
        <v>3684.47</v>
      </c>
      <c r="H174" s="15">
        <f>Table2[[#This Row],[Profit]]/Table2[[#This Row],[Sales]]</f>
        <v>0.2446527224435591</v>
      </c>
    </row>
    <row r="175" spans="1:8" ht="12" customHeight="1" x14ac:dyDescent="0.3">
      <c r="A175" s="13">
        <v>2174</v>
      </c>
      <c r="B175" s="14" t="s">
        <v>88</v>
      </c>
      <c r="C175" s="13" t="s">
        <v>404</v>
      </c>
      <c r="D175" s="13" t="s">
        <v>405</v>
      </c>
      <c r="E175" s="13" t="s">
        <v>413</v>
      </c>
      <c r="F175" s="15">
        <v>26791</v>
      </c>
      <c r="G175" s="15">
        <v>7675.41</v>
      </c>
      <c r="H175" s="15">
        <f>Table2[[#This Row],[Profit]]/Table2[[#This Row],[Sales]]</f>
        <v>0.28649210555783661</v>
      </c>
    </row>
    <row r="176" spans="1:8" ht="12" customHeight="1" x14ac:dyDescent="0.3">
      <c r="A176" s="13">
        <v>2175</v>
      </c>
      <c r="B176" s="14" t="s">
        <v>138</v>
      </c>
      <c r="C176" s="13" t="s">
        <v>401</v>
      </c>
      <c r="D176" s="13" t="s">
        <v>408</v>
      </c>
      <c r="E176" s="13" t="s">
        <v>413</v>
      </c>
      <c r="F176" s="15">
        <v>4721</v>
      </c>
      <c r="G176" s="15">
        <v>1373.15</v>
      </c>
      <c r="H176" s="15">
        <f>Table2[[#This Row],[Profit]]/Table2[[#This Row],[Sales]]</f>
        <v>0.29085998729082824</v>
      </c>
    </row>
    <row r="177" spans="1:8" ht="12" customHeight="1" x14ac:dyDescent="0.3">
      <c r="A177" s="13">
        <v>2176</v>
      </c>
      <c r="B177" s="14" t="s">
        <v>139</v>
      </c>
      <c r="C177" s="13" t="s">
        <v>403</v>
      </c>
      <c r="D177" s="13" t="s">
        <v>407</v>
      </c>
      <c r="E177" s="13" t="s">
        <v>412</v>
      </c>
      <c r="F177" s="15">
        <v>17687</v>
      </c>
      <c r="G177" s="15">
        <v>3789.87</v>
      </c>
      <c r="H177" s="15">
        <f>Table2[[#This Row],[Profit]]/Table2[[#This Row],[Sales]]</f>
        <v>0.21427432577599367</v>
      </c>
    </row>
    <row r="178" spans="1:8" ht="12" customHeight="1" x14ac:dyDescent="0.3">
      <c r="A178" s="13">
        <v>2177</v>
      </c>
      <c r="B178" s="14" t="s">
        <v>140</v>
      </c>
      <c r="C178" s="13" t="s">
        <v>401</v>
      </c>
      <c r="D178" s="13" t="s">
        <v>410</v>
      </c>
      <c r="E178" s="13" t="s">
        <v>412</v>
      </c>
      <c r="F178" s="15">
        <v>8043</v>
      </c>
      <c r="G178" s="15">
        <v>1721.95</v>
      </c>
      <c r="H178" s="15">
        <f>Table2[[#This Row],[Profit]]/Table2[[#This Row],[Sales]]</f>
        <v>0.21409300012433172</v>
      </c>
    </row>
    <row r="179" spans="1:8" ht="12" customHeight="1" x14ac:dyDescent="0.3">
      <c r="A179" s="13">
        <v>2178</v>
      </c>
      <c r="B179" s="14" t="s">
        <v>108</v>
      </c>
      <c r="C179" s="13" t="s">
        <v>403</v>
      </c>
      <c r="D179" s="13" t="s">
        <v>407</v>
      </c>
      <c r="E179" s="13" t="s">
        <v>413</v>
      </c>
      <c r="F179" s="15">
        <v>28132</v>
      </c>
      <c r="G179" s="15">
        <v>8356.6</v>
      </c>
      <c r="H179" s="15">
        <f>Table2[[#This Row],[Profit]]/Table2[[#This Row],[Sales]]</f>
        <v>0.29704962320489126</v>
      </c>
    </row>
    <row r="180" spans="1:8" ht="12" customHeight="1" x14ac:dyDescent="0.3">
      <c r="A180" s="13">
        <v>2179</v>
      </c>
      <c r="B180" s="14" t="s">
        <v>141</v>
      </c>
      <c r="C180" s="13" t="s">
        <v>401</v>
      </c>
      <c r="D180" s="13" t="s">
        <v>407</v>
      </c>
      <c r="E180" s="13" t="s">
        <v>411</v>
      </c>
      <c r="F180" s="15">
        <v>20613</v>
      </c>
      <c r="G180" s="15">
        <v>2737.81</v>
      </c>
      <c r="H180" s="15">
        <f>Table2[[#This Row],[Profit]]/Table2[[#This Row],[Sales]]</f>
        <v>0.13281957987677678</v>
      </c>
    </row>
    <row r="181" spans="1:8" ht="12" customHeight="1" x14ac:dyDescent="0.3">
      <c r="A181" s="13">
        <v>2180</v>
      </c>
      <c r="B181" s="14" t="s">
        <v>142</v>
      </c>
      <c r="C181" s="13" t="s">
        <v>403</v>
      </c>
      <c r="D181" s="13" t="s">
        <v>406</v>
      </c>
      <c r="E181" s="13" t="s">
        <v>412</v>
      </c>
      <c r="F181" s="15">
        <v>25970</v>
      </c>
      <c r="G181" s="15">
        <v>2378.34</v>
      </c>
      <c r="H181" s="15">
        <f>Table2[[#This Row],[Profit]]/Table2[[#This Row],[Sales]]</f>
        <v>9.1580284944166354E-2</v>
      </c>
    </row>
    <row r="182" spans="1:8" ht="12" customHeight="1" x14ac:dyDescent="0.3">
      <c r="A182" s="13">
        <v>2181</v>
      </c>
      <c r="B182" s="14" t="s">
        <v>143</v>
      </c>
      <c r="C182" s="13" t="s">
        <v>401</v>
      </c>
      <c r="D182" s="13" t="s">
        <v>406</v>
      </c>
      <c r="E182" s="13" t="s">
        <v>413</v>
      </c>
      <c r="F182" s="15">
        <v>26673</v>
      </c>
      <c r="G182" s="15">
        <v>3285.34</v>
      </c>
      <c r="H182" s="15">
        <f>Table2[[#This Row],[Profit]]/Table2[[#This Row],[Sales]]</f>
        <v>0.12317099688823904</v>
      </c>
    </row>
    <row r="183" spans="1:8" ht="12" customHeight="1" x14ac:dyDescent="0.3">
      <c r="A183" s="13">
        <v>2182</v>
      </c>
      <c r="B183" s="14" t="s">
        <v>144</v>
      </c>
      <c r="C183" s="13" t="s">
        <v>404</v>
      </c>
      <c r="D183" s="13" t="s">
        <v>408</v>
      </c>
      <c r="E183" s="13" t="s">
        <v>412</v>
      </c>
      <c r="F183" s="15">
        <v>4526</v>
      </c>
      <c r="G183" s="15">
        <v>646.12</v>
      </c>
      <c r="H183" s="15">
        <f>Table2[[#This Row],[Profit]]/Table2[[#This Row],[Sales]]</f>
        <v>0.14275740167918693</v>
      </c>
    </row>
    <row r="184" spans="1:8" ht="12" customHeight="1" x14ac:dyDescent="0.3">
      <c r="A184" s="13">
        <v>2183</v>
      </c>
      <c r="B184" s="14" t="s">
        <v>145</v>
      </c>
      <c r="C184" s="13" t="s">
        <v>401</v>
      </c>
      <c r="D184" s="13" t="s">
        <v>406</v>
      </c>
      <c r="E184" s="13" t="s">
        <v>411</v>
      </c>
      <c r="F184" s="15">
        <v>17049</v>
      </c>
      <c r="G184" s="15">
        <v>1857.38</v>
      </c>
      <c r="H184" s="15">
        <f>Table2[[#This Row],[Profit]]/Table2[[#This Row],[Sales]]</f>
        <v>0.10894363305765735</v>
      </c>
    </row>
    <row r="185" spans="1:8" ht="12" customHeight="1" x14ac:dyDescent="0.3">
      <c r="A185" s="13">
        <v>2184</v>
      </c>
      <c r="B185" s="14" t="s">
        <v>146</v>
      </c>
      <c r="C185" s="13" t="s">
        <v>402</v>
      </c>
      <c r="D185" s="13" t="s">
        <v>408</v>
      </c>
      <c r="E185" s="13" t="s">
        <v>411</v>
      </c>
      <c r="F185" s="15">
        <v>9819</v>
      </c>
      <c r="G185" s="15">
        <v>2690.85</v>
      </c>
      <c r="H185" s="15">
        <f>Table2[[#This Row],[Profit]]/Table2[[#This Row],[Sales]]</f>
        <v>0.27404521845401769</v>
      </c>
    </row>
    <row r="186" spans="1:8" ht="12" customHeight="1" x14ac:dyDescent="0.3">
      <c r="A186" s="13">
        <v>2185</v>
      </c>
      <c r="B186" s="14" t="s">
        <v>59</v>
      </c>
      <c r="C186" s="13" t="s">
        <v>404</v>
      </c>
      <c r="D186" s="13" t="s">
        <v>410</v>
      </c>
      <c r="E186" s="13" t="s">
        <v>412</v>
      </c>
      <c r="F186" s="15">
        <v>25291</v>
      </c>
      <c r="G186" s="15">
        <v>5119.5600000000004</v>
      </c>
      <c r="H186" s="15">
        <f>Table2[[#This Row],[Profit]]/Table2[[#This Row],[Sales]]</f>
        <v>0.20242615950338066</v>
      </c>
    </row>
    <row r="187" spans="1:8" ht="12" customHeight="1" x14ac:dyDescent="0.3">
      <c r="A187" s="13">
        <v>2186</v>
      </c>
      <c r="B187" s="14" t="s">
        <v>46</v>
      </c>
      <c r="C187" s="13" t="s">
        <v>402</v>
      </c>
      <c r="D187" s="13" t="s">
        <v>407</v>
      </c>
      <c r="E187" s="13" t="s">
        <v>413</v>
      </c>
      <c r="F187" s="15">
        <v>9345</v>
      </c>
      <c r="G187" s="15">
        <v>2283.84</v>
      </c>
      <c r="H187" s="15">
        <f>Table2[[#This Row],[Profit]]/Table2[[#This Row],[Sales]]</f>
        <v>0.2443916532905297</v>
      </c>
    </row>
    <row r="188" spans="1:8" ht="12" customHeight="1" x14ac:dyDescent="0.3">
      <c r="A188" s="13">
        <v>2187</v>
      </c>
      <c r="B188" s="14" t="s">
        <v>26</v>
      </c>
      <c r="C188" s="13" t="s">
        <v>402</v>
      </c>
      <c r="D188" s="13" t="s">
        <v>410</v>
      </c>
      <c r="E188" s="13" t="s">
        <v>413</v>
      </c>
      <c r="F188" s="15">
        <v>13223</v>
      </c>
      <c r="G188" s="15">
        <v>1989.27</v>
      </c>
      <c r="H188" s="15">
        <f>Table2[[#This Row],[Profit]]/Table2[[#This Row],[Sales]]</f>
        <v>0.15044014217651061</v>
      </c>
    </row>
    <row r="189" spans="1:8" ht="12" customHeight="1" x14ac:dyDescent="0.3">
      <c r="A189" s="13">
        <v>2188</v>
      </c>
      <c r="B189" s="14" t="s">
        <v>147</v>
      </c>
      <c r="C189" s="13" t="s">
        <v>403</v>
      </c>
      <c r="D189" s="13" t="s">
        <v>410</v>
      </c>
      <c r="E189" s="13" t="s">
        <v>411</v>
      </c>
      <c r="F189" s="15">
        <v>18975</v>
      </c>
      <c r="G189" s="15">
        <v>5677.72</v>
      </c>
      <c r="H189" s="15">
        <f>Table2[[#This Row],[Profit]]/Table2[[#This Row],[Sales]]</f>
        <v>0.29922108036890649</v>
      </c>
    </row>
    <row r="190" spans="1:8" ht="12" customHeight="1" x14ac:dyDescent="0.3">
      <c r="A190" s="13">
        <v>2189</v>
      </c>
      <c r="B190" s="14" t="s">
        <v>115</v>
      </c>
      <c r="C190" s="13" t="s">
        <v>401</v>
      </c>
      <c r="D190" s="13" t="s">
        <v>406</v>
      </c>
      <c r="E190" s="13" t="s">
        <v>411</v>
      </c>
      <c r="F190" s="15">
        <v>6820</v>
      </c>
      <c r="G190" s="15">
        <v>751.23</v>
      </c>
      <c r="H190" s="15">
        <f>Table2[[#This Row],[Profit]]/Table2[[#This Row],[Sales]]</f>
        <v>0.11015102639296188</v>
      </c>
    </row>
    <row r="191" spans="1:8" ht="12" customHeight="1" x14ac:dyDescent="0.3">
      <c r="A191" s="13">
        <v>2190</v>
      </c>
      <c r="B191" s="14" t="s">
        <v>148</v>
      </c>
      <c r="C191" s="13" t="s">
        <v>403</v>
      </c>
      <c r="D191" s="13" t="s">
        <v>408</v>
      </c>
      <c r="E191" s="13" t="s">
        <v>413</v>
      </c>
      <c r="F191" s="15">
        <v>4875</v>
      </c>
      <c r="G191" s="15">
        <v>1377.26</v>
      </c>
      <c r="H191" s="15">
        <f>Table2[[#This Row],[Profit]]/Table2[[#This Row],[Sales]]</f>
        <v>0.28251487179487178</v>
      </c>
    </row>
    <row r="192" spans="1:8" ht="12" customHeight="1" x14ac:dyDescent="0.3">
      <c r="A192" s="13">
        <v>2191</v>
      </c>
      <c r="B192" s="14" t="s">
        <v>149</v>
      </c>
      <c r="C192" s="13" t="s">
        <v>401</v>
      </c>
      <c r="D192" s="13" t="s">
        <v>405</v>
      </c>
      <c r="E192" s="13" t="s">
        <v>411</v>
      </c>
      <c r="F192" s="15">
        <v>15524</v>
      </c>
      <c r="G192" s="15">
        <v>2011.49</v>
      </c>
      <c r="H192" s="15">
        <f>Table2[[#This Row],[Profit]]/Table2[[#This Row],[Sales]]</f>
        <v>0.12957291935068282</v>
      </c>
    </row>
    <row r="193" spans="1:8" ht="12" customHeight="1" x14ac:dyDescent="0.3">
      <c r="A193" s="13">
        <v>2192</v>
      </c>
      <c r="B193" s="14" t="s">
        <v>150</v>
      </c>
      <c r="C193" s="13" t="s">
        <v>402</v>
      </c>
      <c r="D193" s="13" t="s">
        <v>410</v>
      </c>
      <c r="E193" s="13" t="s">
        <v>411</v>
      </c>
      <c r="F193" s="15">
        <v>17091</v>
      </c>
      <c r="G193" s="15">
        <v>2893.94</v>
      </c>
      <c r="H193" s="15">
        <f>Table2[[#This Row],[Profit]]/Table2[[#This Row],[Sales]]</f>
        <v>0.16932537592885144</v>
      </c>
    </row>
    <row r="194" spans="1:8" ht="12" customHeight="1" x14ac:dyDescent="0.3">
      <c r="A194" s="13">
        <v>2193</v>
      </c>
      <c r="B194" s="14" t="s">
        <v>51</v>
      </c>
      <c r="C194" s="13" t="s">
        <v>402</v>
      </c>
      <c r="D194" s="13" t="s">
        <v>405</v>
      </c>
      <c r="E194" s="13" t="s">
        <v>413</v>
      </c>
      <c r="F194" s="15">
        <v>21573</v>
      </c>
      <c r="G194" s="15">
        <v>3626.28</v>
      </c>
      <c r="H194" s="15">
        <f>Table2[[#This Row],[Profit]]/Table2[[#This Row],[Sales]]</f>
        <v>0.16809345014601587</v>
      </c>
    </row>
    <row r="195" spans="1:8" ht="12" customHeight="1" x14ac:dyDescent="0.3">
      <c r="A195" s="13">
        <v>2194</v>
      </c>
      <c r="B195" s="14" t="s">
        <v>151</v>
      </c>
      <c r="C195" s="13" t="s">
        <v>404</v>
      </c>
      <c r="D195" s="13" t="s">
        <v>410</v>
      </c>
      <c r="E195" s="13" t="s">
        <v>412</v>
      </c>
      <c r="F195" s="15">
        <v>20302</v>
      </c>
      <c r="G195" s="15">
        <v>2169.21</v>
      </c>
      <c r="H195" s="15">
        <f>Table2[[#This Row],[Profit]]/Table2[[#This Row],[Sales]]</f>
        <v>0.10684710865924539</v>
      </c>
    </row>
    <row r="196" spans="1:8" ht="12" customHeight="1" x14ac:dyDescent="0.3">
      <c r="A196" s="13">
        <v>2195</v>
      </c>
      <c r="B196" s="14" t="s">
        <v>152</v>
      </c>
      <c r="C196" s="13" t="s">
        <v>401</v>
      </c>
      <c r="D196" s="13" t="s">
        <v>410</v>
      </c>
      <c r="E196" s="13" t="s">
        <v>413</v>
      </c>
      <c r="F196" s="15">
        <v>17277</v>
      </c>
      <c r="G196" s="15">
        <v>2872.77</v>
      </c>
      <c r="H196" s="15">
        <f>Table2[[#This Row],[Profit]]/Table2[[#This Row],[Sales]]</f>
        <v>0.16627713144643166</v>
      </c>
    </row>
    <row r="197" spans="1:8" ht="12" customHeight="1" x14ac:dyDescent="0.3">
      <c r="A197" s="13">
        <v>2196</v>
      </c>
      <c r="B197" s="14" t="s">
        <v>153</v>
      </c>
      <c r="C197" s="13" t="s">
        <v>401</v>
      </c>
      <c r="D197" s="13" t="s">
        <v>410</v>
      </c>
      <c r="E197" s="13" t="s">
        <v>412</v>
      </c>
      <c r="F197" s="15">
        <v>14715</v>
      </c>
      <c r="G197" s="15">
        <v>4408.8900000000003</v>
      </c>
      <c r="H197" s="15">
        <f>Table2[[#This Row],[Profit]]/Table2[[#This Row],[Sales]]</f>
        <v>0.29961875637104995</v>
      </c>
    </row>
    <row r="198" spans="1:8" ht="12" customHeight="1" x14ac:dyDescent="0.3">
      <c r="A198" s="13">
        <v>2197</v>
      </c>
      <c r="B198" s="14" t="s">
        <v>45</v>
      </c>
      <c r="C198" s="13" t="s">
        <v>404</v>
      </c>
      <c r="D198" s="13" t="s">
        <v>406</v>
      </c>
      <c r="E198" s="13" t="s">
        <v>413</v>
      </c>
      <c r="F198" s="15">
        <v>10545</v>
      </c>
      <c r="G198" s="15">
        <v>2095.25</v>
      </c>
      <c r="H198" s="15">
        <f>Table2[[#This Row],[Profit]]/Table2[[#This Row],[Sales]]</f>
        <v>0.19869606448553817</v>
      </c>
    </row>
    <row r="199" spans="1:8" ht="12" customHeight="1" x14ac:dyDescent="0.3">
      <c r="A199" s="13">
        <v>2198</v>
      </c>
      <c r="B199" s="14" t="s">
        <v>154</v>
      </c>
      <c r="C199" s="13" t="s">
        <v>403</v>
      </c>
      <c r="D199" s="13" t="s">
        <v>410</v>
      </c>
      <c r="E199" s="13" t="s">
        <v>411</v>
      </c>
      <c r="F199" s="15">
        <v>19119</v>
      </c>
      <c r="G199" s="15">
        <v>2975.18</v>
      </c>
      <c r="H199" s="15">
        <f>Table2[[#This Row],[Profit]]/Table2[[#This Row],[Sales]]</f>
        <v>0.15561378733197342</v>
      </c>
    </row>
    <row r="200" spans="1:8" ht="12" customHeight="1" x14ac:dyDescent="0.3">
      <c r="A200" s="13">
        <v>2199</v>
      </c>
      <c r="B200" s="14" t="s">
        <v>124</v>
      </c>
      <c r="C200" s="13" t="s">
        <v>404</v>
      </c>
      <c r="D200" s="13" t="s">
        <v>408</v>
      </c>
      <c r="E200" s="13" t="s">
        <v>411</v>
      </c>
      <c r="F200" s="15">
        <v>20297</v>
      </c>
      <c r="G200" s="15">
        <v>1742.82</v>
      </c>
      <c r="H200" s="15">
        <f>Table2[[#This Row],[Profit]]/Table2[[#This Row],[Sales]]</f>
        <v>8.5865891511060749E-2</v>
      </c>
    </row>
    <row r="201" spans="1:8" ht="12" customHeight="1" x14ac:dyDescent="0.3">
      <c r="A201" s="13">
        <v>2200</v>
      </c>
      <c r="B201" s="14" t="s">
        <v>155</v>
      </c>
      <c r="C201" s="13" t="s">
        <v>403</v>
      </c>
      <c r="D201" s="13" t="s">
        <v>406</v>
      </c>
      <c r="E201" s="13" t="s">
        <v>413</v>
      </c>
      <c r="F201" s="15">
        <v>3752</v>
      </c>
      <c r="G201" s="15">
        <v>1067.8900000000001</v>
      </c>
      <c r="H201" s="15">
        <f>Table2[[#This Row],[Profit]]/Table2[[#This Row],[Sales]]</f>
        <v>0.28461886993603414</v>
      </c>
    </row>
    <row r="202" spans="1:8" ht="12" customHeight="1" x14ac:dyDescent="0.3">
      <c r="A202" s="13">
        <v>2201</v>
      </c>
      <c r="B202" s="14" t="s">
        <v>156</v>
      </c>
      <c r="C202" s="13" t="s">
        <v>402</v>
      </c>
      <c r="D202" s="13" t="s">
        <v>405</v>
      </c>
      <c r="E202" s="13" t="s">
        <v>413</v>
      </c>
      <c r="F202" s="15">
        <v>15699</v>
      </c>
      <c r="G202" s="15">
        <v>2350.36</v>
      </c>
      <c r="H202" s="15">
        <f>Table2[[#This Row],[Profit]]/Table2[[#This Row],[Sales]]</f>
        <v>0.14971399452194409</v>
      </c>
    </row>
    <row r="203" spans="1:8" ht="12" customHeight="1" x14ac:dyDescent="0.3">
      <c r="A203" s="13">
        <v>2202</v>
      </c>
      <c r="B203" s="14" t="s">
        <v>69</v>
      </c>
      <c r="C203" s="13" t="s">
        <v>404</v>
      </c>
      <c r="D203" s="13" t="s">
        <v>409</v>
      </c>
      <c r="E203" s="13" t="s">
        <v>413</v>
      </c>
      <c r="F203" s="15">
        <v>16196</v>
      </c>
      <c r="G203" s="15">
        <v>3092.38</v>
      </c>
      <c r="H203" s="15">
        <f>Table2[[#This Row],[Profit]]/Table2[[#This Row],[Sales]]</f>
        <v>0.1909347987157323</v>
      </c>
    </row>
    <row r="204" spans="1:8" ht="12" customHeight="1" x14ac:dyDescent="0.3">
      <c r="A204" s="13">
        <v>2203</v>
      </c>
      <c r="B204" s="14" t="s">
        <v>157</v>
      </c>
      <c r="C204" s="13" t="s">
        <v>402</v>
      </c>
      <c r="D204" s="13" t="s">
        <v>407</v>
      </c>
      <c r="E204" s="13" t="s">
        <v>411</v>
      </c>
      <c r="F204" s="15">
        <v>11968</v>
      </c>
      <c r="G204" s="15">
        <v>3535.95</v>
      </c>
      <c r="H204" s="15">
        <f>Table2[[#This Row],[Profit]]/Table2[[#This Row],[Sales]]</f>
        <v>0.29545036764705879</v>
      </c>
    </row>
    <row r="205" spans="1:8" ht="12" customHeight="1" x14ac:dyDescent="0.3">
      <c r="A205" s="13">
        <v>2204</v>
      </c>
      <c r="B205" s="14" t="s">
        <v>158</v>
      </c>
      <c r="C205" s="13" t="s">
        <v>403</v>
      </c>
      <c r="D205" s="13" t="s">
        <v>407</v>
      </c>
      <c r="E205" s="13" t="s">
        <v>411</v>
      </c>
      <c r="F205" s="15">
        <v>12144</v>
      </c>
      <c r="G205" s="15">
        <v>2387.81</v>
      </c>
      <c r="H205" s="15">
        <f>Table2[[#This Row],[Profit]]/Table2[[#This Row],[Sales]]</f>
        <v>0.19662467061923583</v>
      </c>
    </row>
    <row r="206" spans="1:8" ht="12" customHeight="1" x14ac:dyDescent="0.3">
      <c r="A206" s="13">
        <v>2205</v>
      </c>
      <c r="B206" s="14" t="s">
        <v>159</v>
      </c>
      <c r="C206" s="13" t="s">
        <v>404</v>
      </c>
      <c r="D206" s="13" t="s">
        <v>406</v>
      </c>
      <c r="E206" s="13" t="s">
        <v>411</v>
      </c>
      <c r="F206" s="15">
        <v>9444</v>
      </c>
      <c r="G206" s="15">
        <v>1319.59</v>
      </c>
      <c r="H206" s="15">
        <f>Table2[[#This Row],[Profit]]/Table2[[#This Row],[Sales]]</f>
        <v>0.13972786954680219</v>
      </c>
    </row>
    <row r="207" spans="1:8" ht="12" customHeight="1" x14ac:dyDescent="0.3">
      <c r="A207" s="13">
        <v>2206</v>
      </c>
      <c r="B207" s="14" t="s">
        <v>14</v>
      </c>
      <c r="C207" s="13" t="s">
        <v>401</v>
      </c>
      <c r="D207" s="13" t="s">
        <v>409</v>
      </c>
      <c r="E207" s="13" t="s">
        <v>413</v>
      </c>
      <c r="F207" s="15">
        <v>27158</v>
      </c>
      <c r="G207" s="15">
        <v>2744.12</v>
      </c>
      <c r="H207" s="15">
        <f>Table2[[#This Row],[Profit]]/Table2[[#This Row],[Sales]]</f>
        <v>0.10104278665586568</v>
      </c>
    </row>
    <row r="208" spans="1:8" ht="12" customHeight="1" x14ac:dyDescent="0.3">
      <c r="A208" s="13">
        <v>2207</v>
      </c>
      <c r="B208" s="14" t="s">
        <v>61</v>
      </c>
      <c r="C208" s="13" t="s">
        <v>401</v>
      </c>
      <c r="D208" s="13" t="s">
        <v>409</v>
      </c>
      <c r="E208" s="13" t="s">
        <v>412</v>
      </c>
      <c r="F208" s="15">
        <v>21688</v>
      </c>
      <c r="G208" s="15">
        <v>3085.53</v>
      </c>
      <c r="H208" s="15">
        <f>Table2[[#This Row],[Profit]]/Table2[[#This Row],[Sales]]</f>
        <v>0.14226899668019183</v>
      </c>
    </row>
    <row r="209" spans="1:8" ht="12" customHeight="1" x14ac:dyDescent="0.3">
      <c r="A209" s="13">
        <v>2208</v>
      </c>
      <c r="B209" s="14" t="s">
        <v>160</v>
      </c>
      <c r="C209" s="13" t="s">
        <v>401</v>
      </c>
      <c r="D209" s="13" t="s">
        <v>407</v>
      </c>
      <c r="E209" s="13" t="s">
        <v>412</v>
      </c>
      <c r="F209" s="15">
        <v>10603</v>
      </c>
      <c r="G209" s="15">
        <v>1195.26</v>
      </c>
      <c r="H209" s="15">
        <f>Table2[[#This Row],[Profit]]/Table2[[#This Row],[Sales]]</f>
        <v>0.11272847307365839</v>
      </c>
    </row>
    <row r="210" spans="1:8" ht="12" customHeight="1" x14ac:dyDescent="0.3">
      <c r="A210" s="13">
        <v>2209</v>
      </c>
      <c r="B210" s="14" t="s">
        <v>40</v>
      </c>
      <c r="C210" s="13" t="s">
        <v>404</v>
      </c>
      <c r="D210" s="13" t="s">
        <v>408</v>
      </c>
      <c r="E210" s="13" t="s">
        <v>413</v>
      </c>
      <c r="F210" s="15">
        <v>8245</v>
      </c>
      <c r="G210" s="15">
        <v>1525.5</v>
      </c>
      <c r="H210" s="15">
        <f>Table2[[#This Row],[Profit]]/Table2[[#This Row],[Sales]]</f>
        <v>0.18502122498483931</v>
      </c>
    </row>
    <row r="211" spans="1:8" ht="12" customHeight="1" x14ac:dyDescent="0.3">
      <c r="A211" s="13">
        <v>2210</v>
      </c>
      <c r="B211" s="14" t="s">
        <v>161</v>
      </c>
      <c r="C211" s="13" t="s">
        <v>402</v>
      </c>
      <c r="D211" s="13" t="s">
        <v>406</v>
      </c>
      <c r="E211" s="13" t="s">
        <v>412</v>
      </c>
      <c r="F211" s="15">
        <v>22164</v>
      </c>
      <c r="G211" s="15">
        <v>6203.51</v>
      </c>
      <c r="H211" s="15">
        <f>Table2[[#This Row],[Profit]]/Table2[[#This Row],[Sales]]</f>
        <v>0.27989126511460027</v>
      </c>
    </row>
    <row r="212" spans="1:8" ht="12" customHeight="1" x14ac:dyDescent="0.3">
      <c r="A212" s="13">
        <v>2211</v>
      </c>
      <c r="B212" s="14" t="s">
        <v>162</v>
      </c>
      <c r="C212" s="13" t="s">
        <v>403</v>
      </c>
      <c r="D212" s="13" t="s">
        <v>406</v>
      </c>
      <c r="E212" s="13" t="s">
        <v>411</v>
      </c>
      <c r="F212" s="15">
        <v>18778</v>
      </c>
      <c r="G212" s="15">
        <v>3002.49</v>
      </c>
      <c r="H212" s="15">
        <f>Table2[[#This Row],[Profit]]/Table2[[#This Row],[Sales]]</f>
        <v>0.15989402492278196</v>
      </c>
    </row>
    <row r="213" spans="1:8" ht="12" customHeight="1" x14ac:dyDescent="0.3">
      <c r="A213" s="13">
        <v>2212</v>
      </c>
      <c r="B213" s="14" t="s">
        <v>163</v>
      </c>
      <c r="C213" s="13" t="s">
        <v>403</v>
      </c>
      <c r="D213" s="13" t="s">
        <v>406</v>
      </c>
      <c r="E213" s="13" t="s">
        <v>413</v>
      </c>
      <c r="F213" s="15">
        <v>13156</v>
      </c>
      <c r="G213" s="15">
        <v>1850.88</v>
      </c>
      <c r="H213" s="15">
        <f>Table2[[#This Row],[Profit]]/Table2[[#This Row],[Sales]]</f>
        <v>0.14068713894800852</v>
      </c>
    </row>
    <row r="214" spans="1:8" ht="12" customHeight="1" x14ac:dyDescent="0.3">
      <c r="A214" s="13">
        <v>2213</v>
      </c>
      <c r="B214" s="14" t="s">
        <v>164</v>
      </c>
      <c r="C214" s="13" t="s">
        <v>401</v>
      </c>
      <c r="D214" s="13" t="s">
        <v>407</v>
      </c>
      <c r="E214" s="13" t="s">
        <v>411</v>
      </c>
      <c r="F214" s="15">
        <v>16482</v>
      </c>
      <c r="G214" s="15">
        <v>4122.68</v>
      </c>
      <c r="H214" s="15">
        <f>Table2[[#This Row],[Profit]]/Table2[[#This Row],[Sales]]</f>
        <v>0.25013226550175949</v>
      </c>
    </row>
    <row r="215" spans="1:8" ht="12" customHeight="1" x14ac:dyDescent="0.3">
      <c r="A215" s="13">
        <v>2214</v>
      </c>
      <c r="B215" s="14" t="s">
        <v>165</v>
      </c>
      <c r="C215" s="13" t="s">
        <v>401</v>
      </c>
      <c r="D215" s="13" t="s">
        <v>409</v>
      </c>
      <c r="E215" s="13" t="s">
        <v>412</v>
      </c>
      <c r="F215" s="15">
        <v>12369</v>
      </c>
      <c r="G215" s="15">
        <v>2850.37</v>
      </c>
      <c r="H215" s="15">
        <f>Table2[[#This Row],[Profit]]/Table2[[#This Row],[Sales]]</f>
        <v>0.23044466003718975</v>
      </c>
    </row>
    <row r="216" spans="1:8" ht="12" customHeight="1" x14ac:dyDescent="0.3">
      <c r="A216" s="13">
        <v>2215</v>
      </c>
      <c r="B216" s="14" t="s">
        <v>9</v>
      </c>
      <c r="C216" s="13" t="s">
        <v>402</v>
      </c>
      <c r="D216" s="13" t="s">
        <v>406</v>
      </c>
      <c r="E216" s="13" t="s">
        <v>412</v>
      </c>
      <c r="F216" s="15">
        <v>26002</v>
      </c>
      <c r="G216" s="15">
        <v>4131.0600000000004</v>
      </c>
      <c r="H216" s="15">
        <f>Table2[[#This Row],[Profit]]/Table2[[#This Row],[Sales]]</f>
        <v>0.15887470194600417</v>
      </c>
    </row>
    <row r="217" spans="1:8" ht="12" customHeight="1" x14ac:dyDescent="0.3">
      <c r="A217" s="13">
        <v>2216</v>
      </c>
      <c r="B217" s="14" t="s">
        <v>166</v>
      </c>
      <c r="C217" s="13" t="s">
        <v>401</v>
      </c>
      <c r="D217" s="13" t="s">
        <v>407</v>
      </c>
      <c r="E217" s="13" t="s">
        <v>413</v>
      </c>
      <c r="F217" s="15">
        <v>9919</v>
      </c>
      <c r="G217" s="15">
        <v>1343.12</v>
      </c>
      <c r="H217" s="15">
        <f>Table2[[#This Row],[Profit]]/Table2[[#This Row],[Sales]]</f>
        <v>0.13540881137211411</v>
      </c>
    </row>
    <row r="218" spans="1:8" ht="12" customHeight="1" x14ac:dyDescent="0.3">
      <c r="A218" s="13">
        <v>2217</v>
      </c>
      <c r="B218" s="14" t="s">
        <v>167</v>
      </c>
      <c r="C218" s="13" t="s">
        <v>404</v>
      </c>
      <c r="D218" s="13" t="s">
        <v>410</v>
      </c>
      <c r="E218" s="13" t="s">
        <v>411</v>
      </c>
      <c r="F218" s="15">
        <v>8634</v>
      </c>
      <c r="G218" s="15">
        <v>2468.75</v>
      </c>
      <c r="H218" s="15">
        <f>Table2[[#This Row],[Profit]]/Table2[[#This Row],[Sales]]</f>
        <v>0.28593351864720873</v>
      </c>
    </row>
    <row r="219" spans="1:8" ht="12" customHeight="1" x14ac:dyDescent="0.3">
      <c r="A219" s="13">
        <v>2218</v>
      </c>
      <c r="B219" s="14" t="s">
        <v>168</v>
      </c>
      <c r="C219" s="13" t="s">
        <v>401</v>
      </c>
      <c r="D219" s="13" t="s">
        <v>407</v>
      </c>
      <c r="E219" s="13" t="s">
        <v>411</v>
      </c>
      <c r="F219" s="15">
        <v>19018</v>
      </c>
      <c r="G219" s="15">
        <v>1661.43</v>
      </c>
      <c r="H219" s="15">
        <f>Table2[[#This Row],[Profit]]/Table2[[#This Row],[Sales]]</f>
        <v>8.736092123251657E-2</v>
      </c>
    </row>
    <row r="220" spans="1:8" ht="12" customHeight="1" x14ac:dyDescent="0.3">
      <c r="A220" s="13">
        <v>2219</v>
      </c>
      <c r="B220" s="14" t="s">
        <v>169</v>
      </c>
      <c r="C220" s="13" t="s">
        <v>402</v>
      </c>
      <c r="D220" s="13" t="s">
        <v>408</v>
      </c>
      <c r="E220" s="13" t="s">
        <v>413</v>
      </c>
      <c r="F220" s="15">
        <v>16137</v>
      </c>
      <c r="G220" s="15">
        <v>3104.69</v>
      </c>
      <c r="H220" s="15">
        <f>Table2[[#This Row],[Profit]]/Table2[[#This Row],[Sales]]</f>
        <v>0.19239573650616595</v>
      </c>
    </row>
    <row r="221" spans="1:8" ht="12" customHeight="1" x14ac:dyDescent="0.3">
      <c r="A221" s="13">
        <v>2220</v>
      </c>
      <c r="B221" s="14" t="s">
        <v>170</v>
      </c>
      <c r="C221" s="13" t="s">
        <v>402</v>
      </c>
      <c r="D221" s="13" t="s">
        <v>406</v>
      </c>
      <c r="E221" s="13" t="s">
        <v>412</v>
      </c>
      <c r="F221" s="15">
        <v>7818</v>
      </c>
      <c r="G221" s="15">
        <v>1078.76</v>
      </c>
      <c r="H221" s="15">
        <f>Table2[[#This Row],[Profit]]/Table2[[#This Row],[Sales]]</f>
        <v>0.13798413916602711</v>
      </c>
    </row>
    <row r="222" spans="1:8" ht="12" customHeight="1" x14ac:dyDescent="0.3">
      <c r="A222" s="13">
        <v>2221</v>
      </c>
      <c r="B222" s="14" t="s">
        <v>127</v>
      </c>
      <c r="C222" s="13" t="s">
        <v>401</v>
      </c>
      <c r="D222" s="13" t="s">
        <v>408</v>
      </c>
      <c r="E222" s="13" t="s">
        <v>411</v>
      </c>
      <c r="F222" s="15">
        <v>28476</v>
      </c>
      <c r="G222" s="15">
        <v>2339.17</v>
      </c>
      <c r="H222" s="15">
        <f>Table2[[#This Row],[Profit]]/Table2[[#This Row],[Sales]]</f>
        <v>8.2145315353279957E-2</v>
      </c>
    </row>
    <row r="223" spans="1:8" ht="12" customHeight="1" x14ac:dyDescent="0.3">
      <c r="A223" s="13">
        <v>2222</v>
      </c>
      <c r="B223" s="14" t="s">
        <v>171</v>
      </c>
      <c r="C223" s="13" t="s">
        <v>401</v>
      </c>
      <c r="D223" s="13" t="s">
        <v>407</v>
      </c>
      <c r="E223" s="13" t="s">
        <v>412</v>
      </c>
      <c r="F223" s="15">
        <v>21572</v>
      </c>
      <c r="G223" s="15">
        <v>2772.84</v>
      </c>
      <c r="H223" s="15">
        <f>Table2[[#This Row],[Profit]]/Table2[[#This Row],[Sales]]</f>
        <v>0.12853884665306881</v>
      </c>
    </row>
    <row r="224" spans="1:8" ht="12" customHeight="1" x14ac:dyDescent="0.3">
      <c r="A224" s="13">
        <v>2223</v>
      </c>
      <c r="B224" s="14" t="s">
        <v>162</v>
      </c>
      <c r="C224" s="13" t="s">
        <v>403</v>
      </c>
      <c r="D224" s="13" t="s">
        <v>408</v>
      </c>
      <c r="E224" s="13" t="s">
        <v>413</v>
      </c>
      <c r="F224" s="15">
        <v>4582</v>
      </c>
      <c r="G224" s="15">
        <v>430.87</v>
      </c>
      <c r="H224" s="15">
        <f>Table2[[#This Row],[Profit]]/Table2[[#This Row],[Sales]]</f>
        <v>9.4035355739851598E-2</v>
      </c>
    </row>
    <row r="225" spans="1:8" ht="12" customHeight="1" x14ac:dyDescent="0.3">
      <c r="A225" s="13">
        <v>2224</v>
      </c>
      <c r="B225" s="14" t="s">
        <v>172</v>
      </c>
      <c r="C225" s="13" t="s">
        <v>404</v>
      </c>
      <c r="D225" s="13" t="s">
        <v>409</v>
      </c>
      <c r="E225" s="13" t="s">
        <v>411</v>
      </c>
      <c r="F225" s="15">
        <v>5974</v>
      </c>
      <c r="G225" s="15">
        <v>1755.27</v>
      </c>
      <c r="H225" s="15">
        <f>Table2[[#This Row],[Profit]]/Table2[[#This Row],[Sales]]</f>
        <v>0.29381821225309673</v>
      </c>
    </row>
    <row r="226" spans="1:8" ht="12" customHeight="1" x14ac:dyDescent="0.3">
      <c r="A226" s="13">
        <v>2225</v>
      </c>
      <c r="B226" s="14" t="s">
        <v>173</v>
      </c>
      <c r="C226" s="13" t="s">
        <v>402</v>
      </c>
      <c r="D226" s="13" t="s">
        <v>408</v>
      </c>
      <c r="E226" s="13" t="s">
        <v>411</v>
      </c>
      <c r="F226" s="15">
        <v>14327</v>
      </c>
      <c r="G226" s="15">
        <v>2732.58</v>
      </c>
      <c r="H226" s="15">
        <f>Table2[[#This Row],[Profit]]/Table2[[#This Row],[Sales]]</f>
        <v>0.19072939205695538</v>
      </c>
    </row>
    <row r="227" spans="1:8" ht="12" customHeight="1" x14ac:dyDescent="0.3">
      <c r="A227" s="13">
        <v>2226</v>
      </c>
      <c r="B227" s="14" t="s">
        <v>174</v>
      </c>
      <c r="C227" s="13" t="s">
        <v>401</v>
      </c>
      <c r="D227" s="13" t="s">
        <v>410</v>
      </c>
      <c r="E227" s="13" t="s">
        <v>412</v>
      </c>
      <c r="F227" s="15">
        <v>4546</v>
      </c>
      <c r="G227" s="15">
        <v>1268.1099999999999</v>
      </c>
      <c r="H227" s="15">
        <f>Table2[[#This Row],[Profit]]/Table2[[#This Row],[Sales]]</f>
        <v>0.27895072591289044</v>
      </c>
    </row>
    <row r="228" spans="1:8" ht="12" customHeight="1" x14ac:dyDescent="0.3">
      <c r="A228" s="13">
        <v>2227</v>
      </c>
      <c r="B228" s="14" t="s">
        <v>175</v>
      </c>
      <c r="C228" s="13" t="s">
        <v>404</v>
      </c>
      <c r="D228" s="13" t="s">
        <v>405</v>
      </c>
      <c r="E228" s="13" t="s">
        <v>413</v>
      </c>
      <c r="F228" s="15">
        <v>17751</v>
      </c>
      <c r="G228" s="15">
        <v>3635.83</v>
      </c>
      <c r="H228" s="15">
        <f>Table2[[#This Row],[Profit]]/Table2[[#This Row],[Sales]]</f>
        <v>0.20482395358007999</v>
      </c>
    </row>
    <row r="229" spans="1:8" ht="12" customHeight="1" x14ac:dyDescent="0.3">
      <c r="A229" s="13">
        <v>2228</v>
      </c>
      <c r="B229" s="14" t="s">
        <v>128</v>
      </c>
      <c r="C229" s="13" t="s">
        <v>401</v>
      </c>
      <c r="D229" s="13" t="s">
        <v>407</v>
      </c>
      <c r="E229" s="13" t="s">
        <v>412</v>
      </c>
      <c r="F229" s="15">
        <v>15022</v>
      </c>
      <c r="G229" s="15">
        <v>1412.51</v>
      </c>
      <c r="H229" s="15">
        <f>Table2[[#This Row],[Profit]]/Table2[[#This Row],[Sales]]</f>
        <v>9.4029423512182131E-2</v>
      </c>
    </row>
    <row r="230" spans="1:8" ht="12" customHeight="1" x14ac:dyDescent="0.3">
      <c r="A230" s="13">
        <v>2229</v>
      </c>
      <c r="B230" s="14" t="s">
        <v>131</v>
      </c>
      <c r="C230" s="13" t="s">
        <v>403</v>
      </c>
      <c r="D230" s="13" t="s">
        <v>410</v>
      </c>
      <c r="E230" s="13" t="s">
        <v>411</v>
      </c>
      <c r="F230" s="15">
        <v>28081</v>
      </c>
      <c r="G230" s="15">
        <v>3389.43</v>
      </c>
      <c r="H230" s="15">
        <f>Table2[[#This Row],[Profit]]/Table2[[#This Row],[Sales]]</f>
        <v>0.12070189808055268</v>
      </c>
    </row>
    <row r="231" spans="1:8" ht="12" customHeight="1" x14ac:dyDescent="0.3">
      <c r="A231" s="13">
        <v>2230</v>
      </c>
      <c r="B231" s="14" t="s">
        <v>176</v>
      </c>
      <c r="C231" s="13" t="s">
        <v>402</v>
      </c>
      <c r="D231" s="13" t="s">
        <v>407</v>
      </c>
      <c r="E231" s="13" t="s">
        <v>412</v>
      </c>
      <c r="F231" s="15">
        <v>19803</v>
      </c>
      <c r="G231" s="15">
        <v>5771.22</v>
      </c>
      <c r="H231" s="15">
        <f>Table2[[#This Row],[Profit]]/Table2[[#This Row],[Sales]]</f>
        <v>0.29143160127253448</v>
      </c>
    </row>
    <row r="232" spans="1:8" ht="12" customHeight="1" x14ac:dyDescent="0.3">
      <c r="A232" s="13">
        <v>2231</v>
      </c>
      <c r="B232" s="14" t="s">
        <v>177</v>
      </c>
      <c r="C232" s="13" t="s">
        <v>401</v>
      </c>
      <c r="D232" s="13" t="s">
        <v>410</v>
      </c>
      <c r="E232" s="13" t="s">
        <v>412</v>
      </c>
      <c r="F232" s="15">
        <v>29390</v>
      </c>
      <c r="G232" s="15">
        <v>2917.18</v>
      </c>
      <c r="H232" s="15">
        <f>Table2[[#This Row],[Profit]]/Table2[[#This Row],[Sales]]</f>
        <v>9.9257570602245659E-2</v>
      </c>
    </row>
    <row r="233" spans="1:8" ht="12" customHeight="1" x14ac:dyDescent="0.3">
      <c r="A233" s="13">
        <v>2232</v>
      </c>
      <c r="B233" s="14" t="s">
        <v>178</v>
      </c>
      <c r="C233" s="13" t="s">
        <v>403</v>
      </c>
      <c r="D233" s="13" t="s">
        <v>409</v>
      </c>
      <c r="E233" s="13" t="s">
        <v>411</v>
      </c>
      <c r="F233" s="15">
        <v>22497</v>
      </c>
      <c r="G233" s="15">
        <v>3059.64</v>
      </c>
      <c r="H233" s="15">
        <f>Table2[[#This Row],[Profit]]/Table2[[#This Row],[Sales]]</f>
        <v>0.13600213361781571</v>
      </c>
    </row>
    <row r="234" spans="1:8" ht="12" customHeight="1" x14ac:dyDescent="0.3">
      <c r="A234" s="13">
        <v>2233</v>
      </c>
      <c r="B234" s="14" t="s">
        <v>179</v>
      </c>
      <c r="C234" s="13" t="s">
        <v>403</v>
      </c>
      <c r="D234" s="13" t="s">
        <v>406</v>
      </c>
      <c r="E234" s="13" t="s">
        <v>412</v>
      </c>
      <c r="F234" s="15">
        <v>12254</v>
      </c>
      <c r="G234" s="15">
        <v>3082.58</v>
      </c>
      <c r="H234" s="15">
        <f>Table2[[#This Row],[Profit]]/Table2[[#This Row],[Sales]]</f>
        <v>0.25155704259833522</v>
      </c>
    </row>
    <row r="235" spans="1:8" ht="12" customHeight="1" x14ac:dyDescent="0.3">
      <c r="A235" s="13">
        <v>2234</v>
      </c>
      <c r="B235" s="14" t="s">
        <v>180</v>
      </c>
      <c r="C235" s="13" t="s">
        <v>401</v>
      </c>
      <c r="D235" s="13" t="s">
        <v>405</v>
      </c>
      <c r="E235" s="13" t="s">
        <v>411</v>
      </c>
      <c r="F235" s="15">
        <v>9874</v>
      </c>
      <c r="G235" s="15">
        <v>2853.59</v>
      </c>
      <c r="H235" s="15">
        <f>Table2[[#This Row],[Profit]]/Table2[[#This Row],[Sales]]</f>
        <v>0.28900040510431435</v>
      </c>
    </row>
    <row r="236" spans="1:8" ht="12" customHeight="1" x14ac:dyDescent="0.3">
      <c r="A236" s="13">
        <v>2235</v>
      </c>
      <c r="B236" s="14" t="s">
        <v>181</v>
      </c>
      <c r="C236" s="13" t="s">
        <v>402</v>
      </c>
      <c r="D236" s="13" t="s">
        <v>406</v>
      </c>
      <c r="E236" s="13" t="s">
        <v>412</v>
      </c>
      <c r="F236" s="15">
        <v>5180</v>
      </c>
      <c r="G236" s="15">
        <v>683.19</v>
      </c>
      <c r="H236" s="15">
        <f>Table2[[#This Row],[Profit]]/Table2[[#This Row],[Sales]]</f>
        <v>0.1318899613899614</v>
      </c>
    </row>
    <row r="237" spans="1:8" ht="12" customHeight="1" x14ac:dyDescent="0.3">
      <c r="A237" s="13">
        <v>2236</v>
      </c>
      <c r="B237" s="14" t="s">
        <v>182</v>
      </c>
      <c r="C237" s="13" t="s">
        <v>404</v>
      </c>
      <c r="D237" s="13" t="s">
        <v>408</v>
      </c>
      <c r="E237" s="13" t="s">
        <v>412</v>
      </c>
      <c r="F237" s="15">
        <v>9717</v>
      </c>
      <c r="G237" s="15">
        <v>2900.3</v>
      </c>
      <c r="H237" s="15">
        <f>Table2[[#This Row],[Profit]]/Table2[[#This Row],[Sales]]</f>
        <v>0.29847689616136669</v>
      </c>
    </row>
    <row r="238" spans="1:8" ht="12" customHeight="1" x14ac:dyDescent="0.3">
      <c r="A238" s="13">
        <v>2237</v>
      </c>
      <c r="B238" s="14" t="s">
        <v>183</v>
      </c>
      <c r="C238" s="13" t="s">
        <v>402</v>
      </c>
      <c r="D238" s="13" t="s">
        <v>405</v>
      </c>
      <c r="E238" s="13" t="s">
        <v>412</v>
      </c>
      <c r="F238" s="15">
        <v>20722</v>
      </c>
      <c r="G238" s="15">
        <v>2477.92</v>
      </c>
      <c r="H238" s="15">
        <f>Table2[[#This Row],[Profit]]/Table2[[#This Row],[Sales]]</f>
        <v>0.11957919119776084</v>
      </c>
    </row>
    <row r="239" spans="1:8" ht="12" customHeight="1" x14ac:dyDescent="0.3">
      <c r="A239" s="13">
        <v>2238</v>
      </c>
      <c r="B239" s="14" t="s">
        <v>184</v>
      </c>
      <c r="C239" s="13" t="s">
        <v>403</v>
      </c>
      <c r="D239" s="13" t="s">
        <v>408</v>
      </c>
      <c r="E239" s="13" t="s">
        <v>412</v>
      </c>
      <c r="F239" s="15">
        <v>21297</v>
      </c>
      <c r="G239" s="15">
        <v>2717.03</v>
      </c>
      <c r="H239" s="15">
        <f>Table2[[#This Row],[Profit]]/Table2[[#This Row],[Sales]]</f>
        <v>0.12757806263793023</v>
      </c>
    </row>
    <row r="240" spans="1:8" ht="12" customHeight="1" x14ac:dyDescent="0.3">
      <c r="A240" s="13">
        <v>2239</v>
      </c>
      <c r="B240" s="14" t="s">
        <v>136</v>
      </c>
      <c r="C240" s="13" t="s">
        <v>402</v>
      </c>
      <c r="D240" s="13" t="s">
        <v>409</v>
      </c>
      <c r="E240" s="13" t="s">
        <v>413</v>
      </c>
      <c r="F240" s="15">
        <v>9091</v>
      </c>
      <c r="G240" s="15">
        <v>1480.57</v>
      </c>
      <c r="H240" s="15">
        <f>Table2[[#This Row],[Profit]]/Table2[[#This Row],[Sales]]</f>
        <v>0.1628610713892861</v>
      </c>
    </row>
    <row r="241" spans="1:8" ht="12" customHeight="1" x14ac:dyDescent="0.3">
      <c r="A241" s="13">
        <v>2240</v>
      </c>
      <c r="B241" s="14" t="s">
        <v>92</v>
      </c>
      <c r="C241" s="13" t="s">
        <v>403</v>
      </c>
      <c r="D241" s="13" t="s">
        <v>410</v>
      </c>
      <c r="E241" s="13" t="s">
        <v>413</v>
      </c>
      <c r="F241" s="15">
        <v>11012</v>
      </c>
      <c r="G241" s="15">
        <v>966.97</v>
      </c>
      <c r="H241" s="15">
        <f>Table2[[#This Row],[Profit]]/Table2[[#This Row],[Sales]]</f>
        <v>8.7810570286959683E-2</v>
      </c>
    </row>
    <row r="242" spans="1:8" ht="12" customHeight="1" x14ac:dyDescent="0.3">
      <c r="A242" s="13">
        <v>2241</v>
      </c>
      <c r="B242" s="14" t="s">
        <v>185</v>
      </c>
      <c r="C242" s="13" t="s">
        <v>404</v>
      </c>
      <c r="D242" s="13" t="s">
        <v>406</v>
      </c>
      <c r="E242" s="13" t="s">
        <v>411</v>
      </c>
      <c r="F242" s="15">
        <v>24451</v>
      </c>
      <c r="G242" s="15">
        <v>2225.04</v>
      </c>
      <c r="H242" s="15">
        <f>Table2[[#This Row],[Profit]]/Table2[[#This Row],[Sales]]</f>
        <v>9.099995910187722E-2</v>
      </c>
    </row>
    <row r="243" spans="1:8" ht="12" customHeight="1" x14ac:dyDescent="0.3">
      <c r="A243" s="13">
        <v>2242</v>
      </c>
      <c r="B243" s="14" t="s">
        <v>186</v>
      </c>
      <c r="C243" s="13" t="s">
        <v>404</v>
      </c>
      <c r="D243" s="13" t="s">
        <v>406</v>
      </c>
      <c r="E243" s="13" t="s">
        <v>411</v>
      </c>
      <c r="F243" s="15">
        <v>17446</v>
      </c>
      <c r="G243" s="15">
        <v>2395.96</v>
      </c>
      <c r="H243" s="15">
        <f>Table2[[#This Row],[Profit]]/Table2[[#This Row],[Sales]]</f>
        <v>0.13733577897512325</v>
      </c>
    </row>
    <row r="244" spans="1:8" ht="12" customHeight="1" x14ac:dyDescent="0.3">
      <c r="A244" s="13">
        <v>2243</v>
      </c>
      <c r="B244" s="14" t="s">
        <v>48</v>
      </c>
      <c r="C244" s="13" t="s">
        <v>401</v>
      </c>
      <c r="D244" s="13" t="s">
        <v>405</v>
      </c>
      <c r="E244" s="13" t="s">
        <v>412</v>
      </c>
      <c r="F244" s="15">
        <v>11292</v>
      </c>
      <c r="G244" s="15">
        <v>1508.33</v>
      </c>
      <c r="H244" s="15">
        <f>Table2[[#This Row],[Profit]]/Table2[[#This Row],[Sales]]</f>
        <v>0.13357509741409848</v>
      </c>
    </row>
    <row r="245" spans="1:8" ht="12" customHeight="1" x14ac:dyDescent="0.3">
      <c r="A245" s="13">
        <v>2244</v>
      </c>
      <c r="B245" s="14" t="s">
        <v>187</v>
      </c>
      <c r="C245" s="13" t="s">
        <v>401</v>
      </c>
      <c r="D245" s="13" t="s">
        <v>407</v>
      </c>
      <c r="E245" s="13" t="s">
        <v>413</v>
      </c>
      <c r="F245" s="15">
        <v>7698</v>
      </c>
      <c r="G245" s="15">
        <v>2126</v>
      </c>
      <c r="H245" s="15">
        <f>Table2[[#This Row],[Profit]]/Table2[[#This Row],[Sales]]</f>
        <v>0.27617563003377499</v>
      </c>
    </row>
    <row r="246" spans="1:8" ht="12" customHeight="1" x14ac:dyDescent="0.3">
      <c r="A246" s="13">
        <v>2245</v>
      </c>
      <c r="B246" s="14" t="s">
        <v>188</v>
      </c>
      <c r="C246" s="13" t="s">
        <v>402</v>
      </c>
      <c r="D246" s="13" t="s">
        <v>408</v>
      </c>
      <c r="E246" s="13" t="s">
        <v>411</v>
      </c>
      <c r="F246" s="15">
        <v>7946</v>
      </c>
      <c r="G246" s="15">
        <v>1467.69</v>
      </c>
      <c r="H246" s="15">
        <f>Table2[[#This Row],[Profit]]/Table2[[#This Row],[Sales]]</f>
        <v>0.18470802919708029</v>
      </c>
    </row>
    <row r="247" spans="1:8" ht="12" customHeight="1" x14ac:dyDescent="0.3">
      <c r="A247" s="13">
        <v>2246</v>
      </c>
      <c r="B247" s="14" t="s">
        <v>181</v>
      </c>
      <c r="C247" s="13" t="s">
        <v>402</v>
      </c>
      <c r="D247" s="13" t="s">
        <v>407</v>
      </c>
      <c r="E247" s="13" t="s">
        <v>413</v>
      </c>
      <c r="F247" s="15">
        <v>22338</v>
      </c>
      <c r="G247" s="15">
        <v>4613.7700000000004</v>
      </c>
      <c r="H247" s="15">
        <f>Table2[[#This Row],[Profit]]/Table2[[#This Row],[Sales]]</f>
        <v>0.20654355806249441</v>
      </c>
    </row>
    <row r="248" spans="1:8" ht="12" customHeight="1" x14ac:dyDescent="0.3">
      <c r="A248" s="13">
        <v>2247</v>
      </c>
      <c r="B248" s="14" t="s">
        <v>92</v>
      </c>
      <c r="C248" s="13" t="s">
        <v>404</v>
      </c>
      <c r="D248" s="13" t="s">
        <v>408</v>
      </c>
      <c r="E248" s="13" t="s">
        <v>411</v>
      </c>
      <c r="F248" s="15">
        <v>6496</v>
      </c>
      <c r="G248" s="15">
        <v>1680.08</v>
      </c>
      <c r="H248" s="15">
        <f>Table2[[#This Row],[Profit]]/Table2[[#This Row],[Sales]]</f>
        <v>0.25863300492610836</v>
      </c>
    </row>
    <row r="249" spans="1:8" ht="12" customHeight="1" x14ac:dyDescent="0.3">
      <c r="A249" s="13">
        <v>2248</v>
      </c>
      <c r="B249" s="14" t="s">
        <v>189</v>
      </c>
      <c r="C249" s="13" t="s">
        <v>401</v>
      </c>
      <c r="D249" s="13" t="s">
        <v>406</v>
      </c>
      <c r="E249" s="13" t="s">
        <v>412</v>
      </c>
      <c r="F249" s="15">
        <v>4535</v>
      </c>
      <c r="G249" s="15">
        <v>1083.3399999999999</v>
      </c>
      <c r="H249" s="15">
        <f>Table2[[#This Row],[Profit]]/Table2[[#This Row],[Sales]]</f>
        <v>0.23888423373759646</v>
      </c>
    </row>
    <row r="250" spans="1:8" ht="12" customHeight="1" x14ac:dyDescent="0.3">
      <c r="A250" s="13">
        <v>2249</v>
      </c>
      <c r="B250" s="14" t="s">
        <v>30</v>
      </c>
      <c r="C250" s="13" t="s">
        <v>402</v>
      </c>
      <c r="D250" s="13" t="s">
        <v>407</v>
      </c>
      <c r="E250" s="13" t="s">
        <v>411</v>
      </c>
      <c r="F250" s="15">
        <v>14300</v>
      </c>
      <c r="G250" s="15">
        <v>4142.87</v>
      </c>
      <c r="H250" s="15">
        <f>Table2[[#This Row],[Profit]]/Table2[[#This Row],[Sales]]</f>
        <v>0.28971118881118879</v>
      </c>
    </row>
    <row r="251" spans="1:8" ht="12" customHeight="1" x14ac:dyDescent="0.3">
      <c r="A251" s="13">
        <v>2250</v>
      </c>
      <c r="B251" s="14" t="s">
        <v>190</v>
      </c>
      <c r="C251" s="13" t="s">
        <v>401</v>
      </c>
      <c r="D251" s="13" t="s">
        <v>405</v>
      </c>
      <c r="E251" s="13" t="s">
        <v>413</v>
      </c>
      <c r="F251" s="15">
        <v>2026</v>
      </c>
      <c r="G251" s="15">
        <v>233.36</v>
      </c>
      <c r="H251" s="15">
        <f>Table2[[#This Row],[Profit]]/Table2[[#This Row],[Sales]]</f>
        <v>0.11518262586377098</v>
      </c>
    </row>
    <row r="252" spans="1:8" ht="12" customHeight="1" x14ac:dyDescent="0.3">
      <c r="A252" s="13">
        <v>2251</v>
      </c>
      <c r="B252" s="14" t="s">
        <v>191</v>
      </c>
      <c r="C252" s="13" t="s">
        <v>403</v>
      </c>
      <c r="D252" s="13" t="s">
        <v>407</v>
      </c>
      <c r="E252" s="13" t="s">
        <v>413</v>
      </c>
      <c r="F252" s="15">
        <v>13685</v>
      </c>
      <c r="G252" s="15">
        <v>3739.15</v>
      </c>
      <c r="H252" s="15">
        <f>Table2[[#This Row],[Profit]]/Table2[[#This Row],[Sales]]</f>
        <v>0.27322981366459625</v>
      </c>
    </row>
    <row r="253" spans="1:8" ht="12" customHeight="1" x14ac:dyDescent="0.3">
      <c r="A253" s="13">
        <v>2252</v>
      </c>
      <c r="B253" s="14" t="s">
        <v>30</v>
      </c>
      <c r="C253" s="13" t="s">
        <v>402</v>
      </c>
      <c r="D253" s="13" t="s">
        <v>408</v>
      </c>
      <c r="E253" s="13" t="s">
        <v>412</v>
      </c>
      <c r="F253" s="15">
        <v>15513</v>
      </c>
      <c r="G253" s="15">
        <v>3516.56</v>
      </c>
      <c r="H253" s="15">
        <f>Table2[[#This Row],[Profit]]/Table2[[#This Row],[Sales]]</f>
        <v>0.22668471604460774</v>
      </c>
    </row>
    <row r="254" spans="1:8" ht="12" customHeight="1" x14ac:dyDescent="0.3">
      <c r="A254" s="13">
        <v>2253</v>
      </c>
      <c r="B254" s="14" t="s">
        <v>113</v>
      </c>
      <c r="C254" s="13" t="s">
        <v>401</v>
      </c>
      <c r="D254" s="13" t="s">
        <v>406</v>
      </c>
      <c r="E254" s="13" t="s">
        <v>413</v>
      </c>
      <c r="F254" s="15">
        <v>9823</v>
      </c>
      <c r="G254" s="15">
        <v>2512.88</v>
      </c>
      <c r="H254" s="15">
        <f>Table2[[#This Row],[Profit]]/Table2[[#This Row],[Sales]]</f>
        <v>0.25581594217652448</v>
      </c>
    </row>
    <row r="255" spans="1:8" ht="12" customHeight="1" x14ac:dyDescent="0.3">
      <c r="A255" s="13">
        <v>2254</v>
      </c>
      <c r="B255" s="14" t="s">
        <v>159</v>
      </c>
      <c r="C255" s="13" t="s">
        <v>403</v>
      </c>
      <c r="D255" s="13" t="s">
        <v>410</v>
      </c>
      <c r="E255" s="13" t="s">
        <v>412</v>
      </c>
      <c r="F255" s="15">
        <v>23235</v>
      </c>
      <c r="G255" s="15">
        <v>2906.43</v>
      </c>
      <c r="H255" s="15">
        <f>Table2[[#This Row],[Profit]]/Table2[[#This Row],[Sales]]</f>
        <v>0.12508844415752096</v>
      </c>
    </row>
    <row r="256" spans="1:8" ht="12" customHeight="1" x14ac:dyDescent="0.3">
      <c r="A256" s="13">
        <v>2255</v>
      </c>
      <c r="B256" s="14" t="s">
        <v>192</v>
      </c>
      <c r="C256" s="13" t="s">
        <v>403</v>
      </c>
      <c r="D256" s="13" t="s">
        <v>410</v>
      </c>
      <c r="E256" s="13" t="s">
        <v>413</v>
      </c>
      <c r="F256" s="15">
        <v>19140</v>
      </c>
      <c r="G256" s="15">
        <v>4377.9399999999996</v>
      </c>
      <c r="H256" s="15">
        <f>Table2[[#This Row],[Profit]]/Table2[[#This Row],[Sales]]</f>
        <v>0.22873249738766979</v>
      </c>
    </row>
    <row r="257" spans="1:8" ht="12" customHeight="1" x14ac:dyDescent="0.3">
      <c r="A257" s="13">
        <v>2256</v>
      </c>
      <c r="B257" s="14" t="s">
        <v>193</v>
      </c>
      <c r="C257" s="13" t="s">
        <v>404</v>
      </c>
      <c r="D257" s="13" t="s">
        <v>407</v>
      </c>
      <c r="E257" s="13" t="s">
        <v>412</v>
      </c>
      <c r="F257" s="15">
        <v>9800</v>
      </c>
      <c r="G257" s="15">
        <v>1568.39</v>
      </c>
      <c r="H257" s="15">
        <f>Table2[[#This Row],[Profit]]/Table2[[#This Row],[Sales]]</f>
        <v>0.16003979591836737</v>
      </c>
    </row>
    <row r="258" spans="1:8" ht="12" customHeight="1" x14ac:dyDescent="0.3">
      <c r="A258" s="13">
        <v>2257</v>
      </c>
      <c r="B258" s="14" t="s">
        <v>157</v>
      </c>
      <c r="C258" s="13" t="s">
        <v>404</v>
      </c>
      <c r="D258" s="13" t="s">
        <v>406</v>
      </c>
      <c r="E258" s="13" t="s">
        <v>413</v>
      </c>
      <c r="F258" s="15">
        <v>2912</v>
      </c>
      <c r="G258" s="15">
        <v>305.18</v>
      </c>
      <c r="H258" s="15">
        <f>Table2[[#This Row],[Profit]]/Table2[[#This Row],[Sales]]</f>
        <v>0.10480082417582418</v>
      </c>
    </row>
    <row r="259" spans="1:8" ht="12" customHeight="1" x14ac:dyDescent="0.3">
      <c r="A259" s="13">
        <v>2258</v>
      </c>
      <c r="B259" s="14" t="s">
        <v>134</v>
      </c>
      <c r="C259" s="13" t="s">
        <v>402</v>
      </c>
      <c r="D259" s="13" t="s">
        <v>405</v>
      </c>
      <c r="E259" s="13" t="s">
        <v>413</v>
      </c>
      <c r="F259" s="15">
        <v>17893</v>
      </c>
      <c r="G259" s="15">
        <v>3648.97</v>
      </c>
      <c r="H259" s="15">
        <f>Table2[[#This Row],[Profit]]/Table2[[#This Row],[Sales]]</f>
        <v>0.20393282289163359</v>
      </c>
    </row>
    <row r="260" spans="1:8" ht="12" customHeight="1" x14ac:dyDescent="0.3">
      <c r="A260" s="13">
        <v>2259</v>
      </c>
      <c r="B260" s="14" t="s">
        <v>194</v>
      </c>
      <c r="C260" s="13" t="s">
        <v>401</v>
      </c>
      <c r="D260" s="13" t="s">
        <v>408</v>
      </c>
      <c r="E260" s="13" t="s">
        <v>413</v>
      </c>
      <c r="F260" s="15">
        <v>8523</v>
      </c>
      <c r="G260" s="15">
        <v>996.24</v>
      </c>
      <c r="H260" s="15">
        <f>Table2[[#This Row],[Profit]]/Table2[[#This Row],[Sales]]</f>
        <v>0.11688841957057375</v>
      </c>
    </row>
    <row r="261" spans="1:8" ht="12" customHeight="1" x14ac:dyDescent="0.3">
      <c r="A261" s="13">
        <v>2260</v>
      </c>
      <c r="B261" s="14" t="s">
        <v>195</v>
      </c>
      <c r="C261" s="13" t="s">
        <v>401</v>
      </c>
      <c r="D261" s="13" t="s">
        <v>408</v>
      </c>
      <c r="E261" s="13" t="s">
        <v>412</v>
      </c>
      <c r="F261" s="15">
        <v>17939</v>
      </c>
      <c r="G261" s="15">
        <v>4184.03</v>
      </c>
      <c r="H261" s="15">
        <f>Table2[[#This Row],[Profit]]/Table2[[#This Row],[Sales]]</f>
        <v>0.2332365237750153</v>
      </c>
    </row>
    <row r="262" spans="1:8" ht="12" customHeight="1" x14ac:dyDescent="0.3">
      <c r="A262" s="13">
        <v>2261</v>
      </c>
      <c r="B262" s="14" t="s">
        <v>110</v>
      </c>
      <c r="C262" s="13" t="s">
        <v>404</v>
      </c>
      <c r="D262" s="13" t="s">
        <v>405</v>
      </c>
      <c r="E262" s="13" t="s">
        <v>412</v>
      </c>
      <c r="F262" s="15">
        <v>3947</v>
      </c>
      <c r="G262" s="15">
        <v>1079.51</v>
      </c>
      <c r="H262" s="15">
        <f>Table2[[#This Row],[Profit]]/Table2[[#This Row],[Sales]]</f>
        <v>0.27350139346338992</v>
      </c>
    </row>
    <row r="263" spans="1:8" ht="12" customHeight="1" x14ac:dyDescent="0.3">
      <c r="A263" s="13">
        <v>2262</v>
      </c>
      <c r="B263" s="14" t="s">
        <v>196</v>
      </c>
      <c r="C263" s="13" t="s">
        <v>401</v>
      </c>
      <c r="D263" s="13" t="s">
        <v>410</v>
      </c>
      <c r="E263" s="13" t="s">
        <v>411</v>
      </c>
      <c r="F263" s="15">
        <v>10884</v>
      </c>
      <c r="G263" s="15">
        <v>2207.96</v>
      </c>
      <c r="H263" s="15">
        <f>Table2[[#This Row],[Profit]]/Table2[[#This Row],[Sales]]</f>
        <v>0.20286291804483647</v>
      </c>
    </row>
    <row r="264" spans="1:8" ht="12" customHeight="1" x14ac:dyDescent="0.3">
      <c r="A264" s="13">
        <v>2263</v>
      </c>
      <c r="B264" s="14" t="s">
        <v>197</v>
      </c>
      <c r="C264" s="13" t="s">
        <v>401</v>
      </c>
      <c r="D264" s="13" t="s">
        <v>410</v>
      </c>
      <c r="E264" s="13" t="s">
        <v>411</v>
      </c>
      <c r="F264" s="15">
        <v>5937</v>
      </c>
      <c r="G264" s="15">
        <v>1597.63</v>
      </c>
      <c r="H264" s="15">
        <f>Table2[[#This Row],[Profit]]/Table2[[#This Row],[Sales]]</f>
        <v>0.26909718713154795</v>
      </c>
    </row>
    <row r="265" spans="1:8" ht="12" customHeight="1" x14ac:dyDescent="0.3">
      <c r="A265" s="13">
        <v>2264</v>
      </c>
      <c r="B265" s="14" t="s">
        <v>198</v>
      </c>
      <c r="C265" s="13" t="s">
        <v>404</v>
      </c>
      <c r="D265" s="13" t="s">
        <v>410</v>
      </c>
      <c r="E265" s="13" t="s">
        <v>413</v>
      </c>
      <c r="F265" s="15">
        <v>12080</v>
      </c>
      <c r="G265" s="15">
        <v>3437.98</v>
      </c>
      <c r="H265" s="15">
        <f>Table2[[#This Row],[Profit]]/Table2[[#This Row],[Sales]]</f>
        <v>0.28460099337748346</v>
      </c>
    </row>
    <row r="266" spans="1:8" ht="12" customHeight="1" x14ac:dyDescent="0.3">
      <c r="A266" s="13">
        <v>2265</v>
      </c>
      <c r="B266" s="14" t="s">
        <v>101</v>
      </c>
      <c r="C266" s="13" t="s">
        <v>401</v>
      </c>
      <c r="D266" s="13" t="s">
        <v>408</v>
      </c>
      <c r="E266" s="13" t="s">
        <v>413</v>
      </c>
      <c r="F266" s="15">
        <v>7691</v>
      </c>
      <c r="G266" s="15">
        <v>1501.75</v>
      </c>
      <c r="H266" s="15">
        <f>Table2[[#This Row],[Profit]]/Table2[[#This Row],[Sales]]</f>
        <v>0.19526069431803406</v>
      </c>
    </row>
    <row r="267" spans="1:8" ht="12" customHeight="1" x14ac:dyDescent="0.3">
      <c r="A267" s="13">
        <v>2266</v>
      </c>
      <c r="B267" s="14" t="s">
        <v>199</v>
      </c>
      <c r="C267" s="13" t="s">
        <v>401</v>
      </c>
      <c r="D267" s="13" t="s">
        <v>408</v>
      </c>
      <c r="E267" s="13" t="s">
        <v>411</v>
      </c>
      <c r="F267" s="15">
        <v>10032</v>
      </c>
      <c r="G267" s="15">
        <v>1115.18</v>
      </c>
      <c r="H267" s="15">
        <f>Table2[[#This Row],[Profit]]/Table2[[#This Row],[Sales]]</f>
        <v>0.11116228070175439</v>
      </c>
    </row>
    <row r="268" spans="1:8" ht="12" customHeight="1" x14ac:dyDescent="0.3">
      <c r="A268" s="13">
        <v>2267</v>
      </c>
      <c r="B268" s="14" t="s">
        <v>200</v>
      </c>
      <c r="C268" s="13" t="s">
        <v>402</v>
      </c>
      <c r="D268" s="13" t="s">
        <v>409</v>
      </c>
      <c r="E268" s="13" t="s">
        <v>412</v>
      </c>
      <c r="F268" s="15">
        <v>28584</v>
      </c>
      <c r="G268" s="15">
        <v>5520.09</v>
      </c>
      <c r="H268" s="15">
        <f>Table2[[#This Row],[Profit]]/Table2[[#This Row],[Sales]]</f>
        <v>0.19311817800167927</v>
      </c>
    </row>
    <row r="269" spans="1:8" ht="12" customHeight="1" x14ac:dyDescent="0.3">
      <c r="A269" s="13">
        <v>2268</v>
      </c>
      <c r="B269" s="14" t="s">
        <v>22</v>
      </c>
      <c r="C269" s="13" t="s">
        <v>403</v>
      </c>
      <c r="D269" s="13" t="s">
        <v>409</v>
      </c>
      <c r="E269" s="13" t="s">
        <v>412</v>
      </c>
      <c r="F269" s="15">
        <v>21455</v>
      </c>
      <c r="G269" s="15">
        <v>3726.21</v>
      </c>
      <c r="H269" s="15">
        <f>Table2[[#This Row],[Profit]]/Table2[[#This Row],[Sales]]</f>
        <v>0.17367560009321836</v>
      </c>
    </row>
    <row r="270" spans="1:8" ht="12" customHeight="1" x14ac:dyDescent="0.3">
      <c r="A270" s="13">
        <v>2269</v>
      </c>
      <c r="B270" s="14" t="s">
        <v>156</v>
      </c>
      <c r="C270" s="13" t="s">
        <v>403</v>
      </c>
      <c r="D270" s="13" t="s">
        <v>410</v>
      </c>
      <c r="E270" s="13" t="s">
        <v>412</v>
      </c>
      <c r="F270" s="15">
        <v>7207</v>
      </c>
      <c r="G270" s="15">
        <v>1848.96</v>
      </c>
      <c r="H270" s="15">
        <f>Table2[[#This Row],[Profit]]/Table2[[#This Row],[Sales]]</f>
        <v>0.25655057582905511</v>
      </c>
    </row>
    <row r="271" spans="1:8" ht="12" customHeight="1" x14ac:dyDescent="0.3">
      <c r="A271" s="13">
        <v>2270</v>
      </c>
      <c r="B271" s="14" t="s">
        <v>201</v>
      </c>
      <c r="C271" s="13" t="s">
        <v>401</v>
      </c>
      <c r="D271" s="13" t="s">
        <v>408</v>
      </c>
      <c r="E271" s="13" t="s">
        <v>412</v>
      </c>
      <c r="F271" s="15">
        <v>3673</v>
      </c>
      <c r="G271" s="15">
        <v>972.88</v>
      </c>
      <c r="H271" s="15">
        <f>Table2[[#This Row],[Profit]]/Table2[[#This Row],[Sales]]</f>
        <v>0.26487340049006264</v>
      </c>
    </row>
    <row r="272" spans="1:8" ht="12" customHeight="1" x14ac:dyDescent="0.3">
      <c r="A272" s="13">
        <v>2271</v>
      </c>
      <c r="B272" s="14" t="s">
        <v>202</v>
      </c>
      <c r="C272" s="13" t="s">
        <v>403</v>
      </c>
      <c r="D272" s="13" t="s">
        <v>407</v>
      </c>
      <c r="E272" s="13" t="s">
        <v>413</v>
      </c>
      <c r="F272" s="15">
        <v>27402</v>
      </c>
      <c r="G272" s="15">
        <v>7587.36</v>
      </c>
      <c r="H272" s="15">
        <f>Table2[[#This Row],[Profit]]/Table2[[#This Row],[Sales]]</f>
        <v>0.27689073790234286</v>
      </c>
    </row>
    <row r="273" spans="1:8" ht="12" customHeight="1" x14ac:dyDescent="0.3">
      <c r="A273" s="13">
        <v>2272</v>
      </c>
      <c r="B273" s="14" t="s">
        <v>85</v>
      </c>
      <c r="C273" s="13" t="s">
        <v>402</v>
      </c>
      <c r="D273" s="13" t="s">
        <v>405</v>
      </c>
      <c r="E273" s="13" t="s">
        <v>413</v>
      </c>
      <c r="F273" s="15">
        <v>5398</v>
      </c>
      <c r="G273" s="15">
        <v>982.6</v>
      </c>
      <c r="H273" s="15">
        <f>Table2[[#This Row],[Profit]]/Table2[[#This Row],[Sales]]</f>
        <v>0.18203038162282328</v>
      </c>
    </row>
    <row r="274" spans="1:8" ht="12" customHeight="1" x14ac:dyDescent="0.3">
      <c r="A274" s="13">
        <v>2273</v>
      </c>
      <c r="B274" s="14" t="s">
        <v>21</v>
      </c>
      <c r="C274" s="13" t="s">
        <v>401</v>
      </c>
      <c r="D274" s="13" t="s">
        <v>410</v>
      </c>
      <c r="E274" s="13" t="s">
        <v>411</v>
      </c>
      <c r="F274" s="15">
        <v>25497</v>
      </c>
      <c r="G274" s="15">
        <v>5321.64</v>
      </c>
      <c r="H274" s="15">
        <f>Table2[[#This Row],[Profit]]/Table2[[#This Row],[Sales]]</f>
        <v>0.2087163195670079</v>
      </c>
    </row>
    <row r="275" spans="1:8" ht="12" customHeight="1" x14ac:dyDescent="0.3">
      <c r="A275" s="13">
        <v>2274</v>
      </c>
      <c r="B275" s="14" t="s">
        <v>127</v>
      </c>
      <c r="C275" s="13" t="s">
        <v>402</v>
      </c>
      <c r="D275" s="13" t="s">
        <v>407</v>
      </c>
      <c r="E275" s="13" t="s">
        <v>411</v>
      </c>
      <c r="F275" s="15">
        <v>18963</v>
      </c>
      <c r="G275" s="15">
        <v>2106.56</v>
      </c>
      <c r="H275" s="15">
        <f>Table2[[#This Row],[Profit]]/Table2[[#This Row],[Sales]]</f>
        <v>0.11108790803142962</v>
      </c>
    </row>
    <row r="276" spans="1:8" ht="12" customHeight="1" x14ac:dyDescent="0.3">
      <c r="A276" s="13">
        <v>2275</v>
      </c>
      <c r="B276" s="14" t="s">
        <v>7</v>
      </c>
      <c r="C276" s="13" t="s">
        <v>404</v>
      </c>
      <c r="D276" s="13" t="s">
        <v>407</v>
      </c>
      <c r="E276" s="13" t="s">
        <v>411</v>
      </c>
      <c r="F276" s="15">
        <v>19592</v>
      </c>
      <c r="G276" s="15">
        <v>3548.47</v>
      </c>
      <c r="H276" s="15">
        <f>Table2[[#This Row],[Profit]]/Table2[[#This Row],[Sales]]</f>
        <v>0.18111831359738667</v>
      </c>
    </row>
    <row r="277" spans="1:8" ht="12" customHeight="1" x14ac:dyDescent="0.3">
      <c r="A277" s="13">
        <v>2276</v>
      </c>
      <c r="B277" s="14" t="s">
        <v>203</v>
      </c>
      <c r="C277" s="13" t="s">
        <v>404</v>
      </c>
      <c r="D277" s="13" t="s">
        <v>409</v>
      </c>
      <c r="E277" s="13" t="s">
        <v>411</v>
      </c>
      <c r="F277" s="15">
        <v>16437</v>
      </c>
      <c r="G277" s="15">
        <v>3441.7</v>
      </c>
      <c r="H277" s="15">
        <f>Table2[[#This Row],[Profit]]/Table2[[#This Row],[Sales]]</f>
        <v>0.20938735779035103</v>
      </c>
    </row>
    <row r="278" spans="1:8" ht="12" customHeight="1" x14ac:dyDescent="0.3">
      <c r="A278" s="13">
        <v>2277</v>
      </c>
      <c r="B278" s="14" t="s">
        <v>204</v>
      </c>
      <c r="C278" s="13" t="s">
        <v>401</v>
      </c>
      <c r="D278" s="13" t="s">
        <v>406</v>
      </c>
      <c r="E278" s="13" t="s">
        <v>412</v>
      </c>
      <c r="F278" s="15">
        <v>6695</v>
      </c>
      <c r="G278" s="15">
        <v>853.36</v>
      </c>
      <c r="H278" s="15">
        <f>Table2[[#This Row],[Profit]]/Table2[[#This Row],[Sales]]</f>
        <v>0.12746228528752801</v>
      </c>
    </row>
    <row r="279" spans="1:8" ht="12" customHeight="1" x14ac:dyDescent="0.3">
      <c r="A279" s="13">
        <v>2278</v>
      </c>
      <c r="B279" s="14" t="s">
        <v>205</v>
      </c>
      <c r="C279" s="13" t="s">
        <v>404</v>
      </c>
      <c r="D279" s="13" t="s">
        <v>408</v>
      </c>
      <c r="E279" s="13" t="s">
        <v>413</v>
      </c>
      <c r="F279" s="15">
        <v>13233</v>
      </c>
      <c r="G279" s="15">
        <v>2869.49</v>
      </c>
      <c r="H279" s="15">
        <f>Table2[[#This Row],[Profit]]/Table2[[#This Row],[Sales]]</f>
        <v>0.21684349731731276</v>
      </c>
    </row>
    <row r="280" spans="1:8" ht="12" customHeight="1" x14ac:dyDescent="0.3">
      <c r="A280" s="13">
        <v>2279</v>
      </c>
      <c r="B280" s="14" t="s">
        <v>7</v>
      </c>
      <c r="C280" s="13" t="s">
        <v>401</v>
      </c>
      <c r="D280" s="13" t="s">
        <v>410</v>
      </c>
      <c r="E280" s="13" t="s">
        <v>413</v>
      </c>
      <c r="F280" s="15">
        <v>28135</v>
      </c>
      <c r="G280" s="15">
        <v>3660.54</v>
      </c>
      <c r="H280" s="15">
        <f>Table2[[#This Row],[Profit]]/Table2[[#This Row],[Sales]]</f>
        <v>0.13010627332503999</v>
      </c>
    </row>
    <row r="281" spans="1:8" ht="12" customHeight="1" x14ac:dyDescent="0.3">
      <c r="A281" s="13">
        <v>2280</v>
      </c>
      <c r="B281" s="14" t="s">
        <v>206</v>
      </c>
      <c r="C281" s="13" t="s">
        <v>404</v>
      </c>
      <c r="D281" s="13" t="s">
        <v>406</v>
      </c>
      <c r="E281" s="13" t="s">
        <v>413</v>
      </c>
      <c r="F281" s="15">
        <v>16581</v>
      </c>
      <c r="G281" s="15">
        <v>1921.84</v>
      </c>
      <c r="H281" s="15">
        <f>Table2[[#This Row],[Profit]]/Table2[[#This Row],[Sales]]</f>
        <v>0.11590615765032265</v>
      </c>
    </row>
    <row r="282" spans="1:8" ht="12" customHeight="1" x14ac:dyDescent="0.3">
      <c r="A282" s="13">
        <v>2281</v>
      </c>
      <c r="B282" s="14" t="s">
        <v>81</v>
      </c>
      <c r="C282" s="13" t="s">
        <v>403</v>
      </c>
      <c r="D282" s="13" t="s">
        <v>406</v>
      </c>
      <c r="E282" s="13" t="s">
        <v>411</v>
      </c>
      <c r="F282" s="15">
        <v>2631</v>
      </c>
      <c r="G282" s="15">
        <v>684.81</v>
      </c>
      <c r="H282" s="15">
        <f>Table2[[#This Row],[Profit]]/Table2[[#This Row],[Sales]]</f>
        <v>0.26028506271379703</v>
      </c>
    </row>
    <row r="283" spans="1:8" ht="12" customHeight="1" x14ac:dyDescent="0.3">
      <c r="A283" s="13">
        <v>2282</v>
      </c>
      <c r="B283" s="14" t="s">
        <v>101</v>
      </c>
      <c r="C283" s="13" t="s">
        <v>402</v>
      </c>
      <c r="D283" s="13" t="s">
        <v>405</v>
      </c>
      <c r="E283" s="13" t="s">
        <v>413</v>
      </c>
      <c r="F283" s="15">
        <v>20986</v>
      </c>
      <c r="G283" s="15">
        <v>4044.32</v>
      </c>
      <c r="H283" s="15">
        <f>Table2[[#This Row],[Profit]]/Table2[[#This Row],[Sales]]</f>
        <v>0.19271514342895266</v>
      </c>
    </row>
    <row r="284" spans="1:8" ht="12" customHeight="1" x14ac:dyDescent="0.3">
      <c r="A284" s="13">
        <v>2283</v>
      </c>
      <c r="B284" s="14" t="s">
        <v>182</v>
      </c>
      <c r="C284" s="13" t="s">
        <v>401</v>
      </c>
      <c r="D284" s="13" t="s">
        <v>406</v>
      </c>
      <c r="E284" s="13" t="s">
        <v>412</v>
      </c>
      <c r="F284" s="15">
        <v>24302</v>
      </c>
      <c r="G284" s="15">
        <v>2557.16</v>
      </c>
      <c r="H284" s="15">
        <f>Table2[[#This Row],[Profit]]/Table2[[#This Row],[Sales]]</f>
        <v>0.10522426137766439</v>
      </c>
    </row>
    <row r="285" spans="1:8" ht="12" customHeight="1" x14ac:dyDescent="0.3">
      <c r="A285" s="13">
        <v>2284</v>
      </c>
      <c r="B285" s="14" t="s">
        <v>207</v>
      </c>
      <c r="C285" s="13" t="s">
        <v>404</v>
      </c>
      <c r="D285" s="13" t="s">
        <v>410</v>
      </c>
      <c r="E285" s="13" t="s">
        <v>413</v>
      </c>
      <c r="F285" s="15">
        <v>7093</v>
      </c>
      <c r="G285" s="15">
        <v>947.95</v>
      </c>
      <c r="H285" s="15">
        <f>Table2[[#This Row],[Profit]]/Table2[[#This Row],[Sales]]</f>
        <v>0.13364584801917384</v>
      </c>
    </row>
    <row r="286" spans="1:8" ht="12" customHeight="1" x14ac:dyDescent="0.3">
      <c r="A286" s="13">
        <v>2285</v>
      </c>
      <c r="B286" s="14" t="s">
        <v>208</v>
      </c>
      <c r="C286" s="13" t="s">
        <v>404</v>
      </c>
      <c r="D286" s="13" t="s">
        <v>410</v>
      </c>
      <c r="E286" s="13" t="s">
        <v>412</v>
      </c>
      <c r="F286" s="15">
        <v>22681</v>
      </c>
      <c r="G286" s="15">
        <v>2895.66</v>
      </c>
      <c r="H286" s="15">
        <f>Table2[[#This Row],[Profit]]/Table2[[#This Row],[Sales]]</f>
        <v>0.12766897403112737</v>
      </c>
    </row>
    <row r="287" spans="1:8" ht="12" customHeight="1" x14ac:dyDescent="0.3">
      <c r="A287" s="13">
        <v>2286</v>
      </c>
      <c r="B287" s="14" t="s">
        <v>136</v>
      </c>
      <c r="C287" s="13" t="s">
        <v>402</v>
      </c>
      <c r="D287" s="13" t="s">
        <v>409</v>
      </c>
      <c r="E287" s="13" t="s">
        <v>412</v>
      </c>
      <c r="F287" s="15">
        <v>21053</v>
      </c>
      <c r="G287" s="15">
        <v>3937.82</v>
      </c>
      <c r="H287" s="15">
        <f>Table2[[#This Row],[Profit]]/Table2[[#This Row],[Sales]]</f>
        <v>0.18704317674440699</v>
      </c>
    </row>
    <row r="288" spans="1:8" ht="12" customHeight="1" x14ac:dyDescent="0.3">
      <c r="A288" s="13">
        <v>2287</v>
      </c>
      <c r="B288" s="14" t="s">
        <v>209</v>
      </c>
      <c r="C288" s="13" t="s">
        <v>402</v>
      </c>
      <c r="D288" s="13" t="s">
        <v>409</v>
      </c>
      <c r="E288" s="13" t="s">
        <v>412</v>
      </c>
      <c r="F288" s="15">
        <v>20942</v>
      </c>
      <c r="G288" s="15">
        <v>4334.6899999999996</v>
      </c>
      <c r="H288" s="15">
        <f>Table2[[#This Row],[Profit]]/Table2[[#This Row],[Sales]]</f>
        <v>0.20698548371693246</v>
      </c>
    </row>
    <row r="289" spans="1:8" ht="12" customHeight="1" x14ac:dyDescent="0.3">
      <c r="A289" s="13">
        <v>2288</v>
      </c>
      <c r="B289" s="14" t="s">
        <v>67</v>
      </c>
      <c r="C289" s="13" t="s">
        <v>402</v>
      </c>
      <c r="D289" s="13" t="s">
        <v>407</v>
      </c>
      <c r="E289" s="13" t="s">
        <v>411</v>
      </c>
      <c r="F289" s="15">
        <v>17216</v>
      </c>
      <c r="G289" s="15">
        <v>2281.19</v>
      </c>
      <c r="H289" s="15">
        <f>Table2[[#This Row],[Profit]]/Table2[[#This Row],[Sales]]</f>
        <v>0.13250406598513012</v>
      </c>
    </row>
    <row r="290" spans="1:8" ht="12" customHeight="1" x14ac:dyDescent="0.3">
      <c r="A290" s="13">
        <v>2289</v>
      </c>
      <c r="B290" s="14" t="s">
        <v>177</v>
      </c>
      <c r="C290" s="13" t="s">
        <v>404</v>
      </c>
      <c r="D290" s="13" t="s">
        <v>409</v>
      </c>
      <c r="E290" s="13" t="s">
        <v>412</v>
      </c>
      <c r="F290" s="15">
        <v>17875</v>
      </c>
      <c r="G290" s="15">
        <v>3262.6</v>
      </c>
      <c r="H290" s="15">
        <f>Table2[[#This Row],[Profit]]/Table2[[#This Row],[Sales]]</f>
        <v>0.18252307692307693</v>
      </c>
    </row>
    <row r="291" spans="1:8" ht="12" customHeight="1" x14ac:dyDescent="0.3">
      <c r="A291" s="13">
        <v>2290</v>
      </c>
      <c r="B291" s="14" t="s">
        <v>210</v>
      </c>
      <c r="C291" s="13" t="s">
        <v>404</v>
      </c>
      <c r="D291" s="13" t="s">
        <v>406</v>
      </c>
      <c r="E291" s="13" t="s">
        <v>413</v>
      </c>
      <c r="F291" s="15">
        <v>28413</v>
      </c>
      <c r="G291" s="15">
        <v>2565.96</v>
      </c>
      <c r="H291" s="15">
        <f>Table2[[#This Row],[Profit]]/Table2[[#This Row],[Sales]]</f>
        <v>9.0309365431316652E-2</v>
      </c>
    </row>
    <row r="292" spans="1:8" ht="12" customHeight="1" x14ac:dyDescent="0.3">
      <c r="A292" s="13">
        <v>2291</v>
      </c>
      <c r="B292" s="14" t="s">
        <v>164</v>
      </c>
      <c r="C292" s="13" t="s">
        <v>403</v>
      </c>
      <c r="D292" s="13" t="s">
        <v>405</v>
      </c>
      <c r="E292" s="13" t="s">
        <v>413</v>
      </c>
      <c r="F292" s="15">
        <v>2407</v>
      </c>
      <c r="G292" s="15">
        <v>709.65</v>
      </c>
      <c r="H292" s="15">
        <f>Table2[[#This Row],[Profit]]/Table2[[#This Row],[Sales]]</f>
        <v>0.29482758620689653</v>
      </c>
    </row>
    <row r="293" spans="1:8" ht="12" customHeight="1" x14ac:dyDescent="0.3">
      <c r="A293" s="13">
        <v>2292</v>
      </c>
      <c r="B293" s="14" t="s">
        <v>211</v>
      </c>
      <c r="C293" s="13" t="s">
        <v>404</v>
      </c>
      <c r="D293" s="13" t="s">
        <v>408</v>
      </c>
      <c r="E293" s="13" t="s">
        <v>412</v>
      </c>
      <c r="F293" s="15">
        <v>3063</v>
      </c>
      <c r="G293" s="15">
        <v>800</v>
      </c>
      <c r="H293" s="15">
        <f>Table2[[#This Row],[Profit]]/Table2[[#This Row],[Sales]]</f>
        <v>0.26118184786157361</v>
      </c>
    </row>
    <row r="294" spans="1:8" ht="12" customHeight="1" x14ac:dyDescent="0.3">
      <c r="A294" s="13">
        <v>2293</v>
      </c>
      <c r="B294" s="14" t="s">
        <v>212</v>
      </c>
      <c r="C294" s="13" t="s">
        <v>401</v>
      </c>
      <c r="D294" s="13" t="s">
        <v>408</v>
      </c>
      <c r="E294" s="13" t="s">
        <v>412</v>
      </c>
      <c r="F294" s="15">
        <v>1853</v>
      </c>
      <c r="G294" s="15">
        <v>172.39</v>
      </c>
      <c r="H294" s="15">
        <f>Table2[[#This Row],[Profit]]/Table2[[#This Row],[Sales]]</f>
        <v>9.3032919589854282E-2</v>
      </c>
    </row>
    <row r="295" spans="1:8" ht="12" customHeight="1" x14ac:dyDescent="0.3">
      <c r="A295" s="13">
        <v>2294</v>
      </c>
      <c r="B295" s="14" t="s">
        <v>158</v>
      </c>
      <c r="C295" s="13" t="s">
        <v>404</v>
      </c>
      <c r="D295" s="13" t="s">
        <v>407</v>
      </c>
      <c r="E295" s="13" t="s">
        <v>412</v>
      </c>
      <c r="F295" s="15">
        <v>19269</v>
      </c>
      <c r="G295" s="15">
        <v>2589.34</v>
      </c>
      <c r="H295" s="15">
        <f>Table2[[#This Row],[Profit]]/Table2[[#This Row],[Sales]]</f>
        <v>0.13437853547148271</v>
      </c>
    </row>
    <row r="296" spans="1:8" ht="12" customHeight="1" x14ac:dyDescent="0.3">
      <c r="A296" s="13">
        <v>2295</v>
      </c>
      <c r="B296" s="14" t="s">
        <v>213</v>
      </c>
      <c r="C296" s="13" t="s">
        <v>404</v>
      </c>
      <c r="D296" s="13" t="s">
        <v>407</v>
      </c>
      <c r="E296" s="13" t="s">
        <v>413</v>
      </c>
      <c r="F296" s="15">
        <v>24774</v>
      </c>
      <c r="G296" s="15">
        <v>5025.59</v>
      </c>
      <c r="H296" s="15">
        <f>Table2[[#This Row],[Profit]]/Table2[[#This Row],[Sales]]</f>
        <v>0.20285743117784774</v>
      </c>
    </row>
    <row r="297" spans="1:8" ht="12" customHeight="1" x14ac:dyDescent="0.3">
      <c r="A297" s="13">
        <v>2296</v>
      </c>
      <c r="B297" s="14" t="s">
        <v>214</v>
      </c>
      <c r="C297" s="13" t="s">
        <v>401</v>
      </c>
      <c r="D297" s="13" t="s">
        <v>408</v>
      </c>
      <c r="E297" s="13" t="s">
        <v>413</v>
      </c>
      <c r="F297" s="15">
        <v>5841</v>
      </c>
      <c r="G297" s="15">
        <v>699.72</v>
      </c>
      <c r="H297" s="15">
        <f>Table2[[#This Row],[Profit]]/Table2[[#This Row],[Sales]]</f>
        <v>0.11979455572675912</v>
      </c>
    </row>
    <row r="298" spans="1:8" ht="12" customHeight="1" x14ac:dyDescent="0.3">
      <c r="A298" s="13">
        <v>2297</v>
      </c>
      <c r="B298" s="14" t="s">
        <v>46</v>
      </c>
      <c r="C298" s="13" t="s">
        <v>403</v>
      </c>
      <c r="D298" s="13" t="s">
        <v>405</v>
      </c>
      <c r="E298" s="13" t="s">
        <v>411</v>
      </c>
      <c r="F298" s="15">
        <v>2233</v>
      </c>
      <c r="G298" s="15">
        <v>417.97</v>
      </c>
      <c r="H298" s="15">
        <f>Table2[[#This Row],[Profit]]/Table2[[#This Row],[Sales]]</f>
        <v>0.18717868338557994</v>
      </c>
    </row>
    <row r="299" spans="1:8" ht="12" customHeight="1" x14ac:dyDescent="0.3">
      <c r="A299" s="13">
        <v>2298</v>
      </c>
      <c r="B299" s="14" t="s">
        <v>98</v>
      </c>
      <c r="C299" s="13" t="s">
        <v>401</v>
      </c>
      <c r="D299" s="13" t="s">
        <v>410</v>
      </c>
      <c r="E299" s="13" t="s">
        <v>413</v>
      </c>
      <c r="F299" s="15">
        <v>8850</v>
      </c>
      <c r="G299" s="15">
        <v>1650.28</v>
      </c>
      <c r="H299" s="15">
        <f>Table2[[#This Row],[Profit]]/Table2[[#This Row],[Sales]]</f>
        <v>0.1864723163841808</v>
      </c>
    </row>
    <row r="300" spans="1:8" ht="12" customHeight="1" x14ac:dyDescent="0.3">
      <c r="A300" s="13">
        <v>2299</v>
      </c>
      <c r="B300" s="14" t="s">
        <v>215</v>
      </c>
      <c r="C300" s="13" t="s">
        <v>404</v>
      </c>
      <c r="D300" s="13" t="s">
        <v>407</v>
      </c>
      <c r="E300" s="13" t="s">
        <v>413</v>
      </c>
      <c r="F300" s="15">
        <v>7504</v>
      </c>
      <c r="G300" s="15">
        <v>935.19</v>
      </c>
      <c r="H300" s="15">
        <f>Table2[[#This Row],[Profit]]/Table2[[#This Row],[Sales]]</f>
        <v>0.12462553304904052</v>
      </c>
    </row>
    <row r="301" spans="1:8" ht="12" customHeight="1" x14ac:dyDescent="0.3">
      <c r="A301" s="13">
        <v>2300</v>
      </c>
      <c r="B301" s="14" t="s">
        <v>216</v>
      </c>
      <c r="C301" s="13" t="s">
        <v>401</v>
      </c>
      <c r="D301" s="13" t="s">
        <v>409</v>
      </c>
      <c r="E301" s="13" t="s">
        <v>413</v>
      </c>
      <c r="F301" s="15">
        <v>8716</v>
      </c>
      <c r="G301" s="15">
        <v>1758.04</v>
      </c>
      <c r="H301" s="15">
        <f>Table2[[#This Row],[Profit]]/Table2[[#This Row],[Sales]]</f>
        <v>0.2017026158788435</v>
      </c>
    </row>
    <row r="302" spans="1:8" ht="12" customHeight="1" x14ac:dyDescent="0.3">
      <c r="A302" s="13">
        <v>2301</v>
      </c>
      <c r="B302" s="14" t="s">
        <v>217</v>
      </c>
      <c r="C302" s="13" t="s">
        <v>404</v>
      </c>
      <c r="D302" s="13" t="s">
        <v>406</v>
      </c>
      <c r="E302" s="13" t="s">
        <v>412</v>
      </c>
      <c r="F302" s="15">
        <v>11411</v>
      </c>
      <c r="G302" s="15">
        <v>3009.74</v>
      </c>
      <c r="H302" s="15">
        <f>Table2[[#This Row],[Profit]]/Table2[[#This Row],[Sales]]</f>
        <v>0.26375777758303387</v>
      </c>
    </row>
    <row r="303" spans="1:8" ht="12" customHeight="1" x14ac:dyDescent="0.3">
      <c r="A303" s="13">
        <v>2302</v>
      </c>
      <c r="B303" s="14" t="s">
        <v>37</v>
      </c>
      <c r="C303" s="13" t="s">
        <v>403</v>
      </c>
      <c r="D303" s="13" t="s">
        <v>408</v>
      </c>
      <c r="E303" s="13" t="s">
        <v>412</v>
      </c>
      <c r="F303" s="15">
        <v>12115</v>
      </c>
      <c r="G303" s="15">
        <v>2558.33</v>
      </c>
      <c r="H303" s="15">
        <f>Table2[[#This Row],[Profit]]/Table2[[#This Row],[Sales]]</f>
        <v>0.21117044985555097</v>
      </c>
    </row>
    <row r="304" spans="1:8" ht="12" customHeight="1" x14ac:dyDescent="0.3">
      <c r="A304" s="13">
        <v>2303</v>
      </c>
      <c r="B304" s="14" t="s">
        <v>218</v>
      </c>
      <c r="C304" s="13" t="s">
        <v>402</v>
      </c>
      <c r="D304" s="13" t="s">
        <v>406</v>
      </c>
      <c r="E304" s="13" t="s">
        <v>413</v>
      </c>
      <c r="F304" s="15">
        <v>21909</v>
      </c>
      <c r="G304" s="15">
        <v>5143.66</v>
      </c>
      <c r="H304" s="15">
        <f>Table2[[#This Row],[Profit]]/Table2[[#This Row],[Sales]]</f>
        <v>0.23477383723583914</v>
      </c>
    </row>
    <row r="305" spans="1:8" ht="12" customHeight="1" x14ac:dyDescent="0.3">
      <c r="A305" s="13">
        <v>2304</v>
      </c>
      <c r="B305" s="14" t="s">
        <v>219</v>
      </c>
      <c r="C305" s="13" t="s">
        <v>403</v>
      </c>
      <c r="D305" s="13" t="s">
        <v>406</v>
      </c>
      <c r="E305" s="13" t="s">
        <v>412</v>
      </c>
      <c r="F305" s="15">
        <v>26605</v>
      </c>
      <c r="G305" s="15">
        <v>6360.83</v>
      </c>
      <c r="H305" s="15">
        <f>Table2[[#This Row],[Profit]]/Table2[[#This Row],[Sales]]</f>
        <v>0.23908400676564556</v>
      </c>
    </row>
    <row r="306" spans="1:8" ht="12" customHeight="1" x14ac:dyDescent="0.3">
      <c r="A306" s="13">
        <v>2305</v>
      </c>
      <c r="B306" s="14" t="s">
        <v>220</v>
      </c>
      <c r="C306" s="13" t="s">
        <v>401</v>
      </c>
      <c r="D306" s="13" t="s">
        <v>410</v>
      </c>
      <c r="E306" s="13" t="s">
        <v>411</v>
      </c>
      <c r="F306" s="15">
        <v>7470</v>
      </c>
      <c r="G306" s="15">
        <v>1614.87</v>
      </c>
      <c r="H306" s="15">
        <f>Table2[[#This Row],[Profit]]/Table2[[#This Row],[Sales]]</f>
        <v>0.21618072289156626</v>
      </c>
    </row>
    <row r="307" spans="1:8" ht="12" customHeight="1" x14ac:dyDescent="0.3">
      <c r="A307" s="13">
        <v>2306</v>
      </c>
      <c r="B307" s="14" t="s">
        <v>221</v>
      </c>
      <c r="C307" s="13" t="s">
        <v>402</v>
      </c>
      <c r="D307" s="13" t="s">
        <v>408</v>
      </c>
      <c r="E307" s="13" t="s">
        <v>411</v>
      </c>
      <c r="F307" s="15">
        <v>4374</v>
      </c>
      <c r="G307" s="15">
        <v>1036.45</v>
      </c>
      <c r="H307" s="15">
        <f>Table2[[#This Row],[Profit]]/Table2[[#This Row],[Sales]]</f>
        <v>0.2369570187471422</v>
      </c>
    </row>
    <row r="308" spans="1:8" ht="12" customHeight="1" x14ac:dyDescent="0.3">
      <c r="A308" s="13">
        <v>2307</v>
      </c>
      <c r="B308" s="14" t="s">
        <v>14</v>
      </c>
      <c r="C308" s="13" t="s">
        <v>402</v>
      </c>
      <c r="D308" s="13" t="s">
        <v>410</v>
      </c>
      <c r="E308" s="13" t="s">
        <v>413</v>
      </c>
      <c r="F308" s="15">
        <v>29149</v>
      </c>
      <c r="G308" s="15">
        <v>5832.39</v>
      </c>
      <c r="H308" s="15">
        <f>Table2[[#This Row],[Profit]]/Table2[[#This Row],[Sales]]</f>
        <v>0.20008885382002814</v>
      </c>
    </row>
    <row r="309" spans="1:8" ht="12" customHeight="1" x14ac:dyDescent="0.3">
      <c r="A309" s="13">
        <v>2308</v>
      </c>
      <c r="B309" s="14" t="s">
        <v>176</v>
      </c>
      <c r="C309" s="13" t="s">
        <v>404</v>
      </c>
      <c r="D309" s="13" t="s">
        <v>407</v>
      </c>
      <c r="E309" s="13" t="s">
        <v>412</v>
      </c>
      <c r="F309" s="15">
        <v>5391</v>
      </c>
      <c r="G309" s="15">
        <v>1552.96</v>
      </c>
      <c r="H309" s="15">
        <f>Table2[[#This Row],[Profit]]/Table2[[#This Row],[Sales]]</f>
        <v>0.28806529400853276</v>
      </c>
    </row>
    <row r="310" spans="1:8" ht="12" customHeight="1" x14ac:dyDescent="0.3">
      <c r="A310" s="13">
        <v>2309</v>
      </c>
      <c r="B310" s="14" t="s">
        <v>222</v>
      </c>
      <c r="C310" s="13" t="s">
        <v>401</v>
      </c>
      <c r="D310" s="13" t="s">
        <v>405</v>
      </c>
      <c r="E310" s="13" t="s">
        <v>411</v>
      </c>
      <c r="F310" s="15">
        <v>11287</v>
      </c>
      <c r="G310" s="15">
        <v>999.4</v>
      </c>
      <c r="H310" s="15">
        <f>Table2[[#This Row],[Profit]]/Table2[[#This Row],[Sales]]</f>
        <v>8.8544343049526006E-2</v>
      </c>
    </row>
    <row r="311" spans="1:8" ht="12" customHeight="1" x14ac:dyDescent="0.3">
      <c r="A311" s="13">
        <v>2310</v>
      </c>
      <c r="B311" s="14" t="s">
        <v>95</v>
      </c>
      <c r="C311" s="13" t="s">
        <v>402</v>
      </c>
      <c r="D311" s="13" t="s">
        <v>407</v>
      </c>
      <c r="E311" s="13" t="s">
        <v>411</v>
      </c>
      <c r="F311" s="15">
        <v>24891</v>
      </c>
      <c r="G311" s="15">
        <v>5898.75</v>
      </c>
      <c r="H311" s="15">
        <f>Table2[[#This Row],[Profit]]/Table2[[#This Row],[Sales]]</f>
        <v>0.23698324695673134</v>
      </c>
    </row>
    <row r="312" spans="1:8" ht="12" customHeight="1" x14ac:dyDescent="0.3">
      <c r="A312" s="13">
        <v>2311</v>
      </c>
      <c r="B312" s="14" t="s">
        <v>31</v>
      </c>
      <c r="C312" s="13" t="s">
        <v>403</v>
      </c>
      <c r="D312" s="13" t="s">
        <v>410</v>
      </c>
      <c r="E312" s="13" t="s">
        <v>413</v>
      </c>
      <c r="F312" s="15">
        <v>9393</v>
      </c>
      <c r="G312" s="15">
        <v>2263.4699999999998</v>
      </c>
      <c r="H312" s="15">
        <f>Table2[[#This Row],[Profit]]/Table2[[#This Row],[Sales]]</f>
        <v>0.2409741296710316</v>
      </c>
    </row>
    <row r="313" spans="1:8" ht="12" customHeight="1" x14ac:dyDescent="0.3">
      <c r="A313" s="13">
        <v>2312</v>
      </c>
      <c r="B313" s="14" t="s">
        <v>223</v>
      </c>
      <c r="C313" s="13" t="s">
        <v>402</v>
      </c>
      <c r="D313" s="13" t="s">
        <v>407</v>
      </c>
      <c r="E313" s="13" t="s">
        <v>411</v>
      </c>
      <c r="F313" s="15">
        <v>21421</v>
      </c>
      <c r="G313" s="15">
        <v>2659.39</v>
      </c>
      <c r="H313" s="15">
        <f>Table2[[#This Row],[Profit]]/Table2[[#This Row],[Sales]]</f>
        <v>0.12414873255216843</v>
      </c>
    </row>
    <row r="314" spans="1:8" ht="12" customHeight="1" x14ac:dyDescent="0.3">
      <c r="A314" s="13">
        <v>2313</v>
      </c>
      <c r="B314" s="14" t="s">
        <v>159</v>
      </c>
      <c r="C314" s="13" t="s">
        <v>403</v>
      </c>
      <c r="D314" s="13" t="s">
        <v>409</v>
      </c>
      <c r="E314" s="13" t="s">
        <v>412</v>
      </c>
      <c r="F314" s="15">
        <v>25382</v>
      </c>
      <c r="G314" s="15">
        <v>3733.45</v>
      </c>
      <c r="H314" s="15">
        <f>Table2[[#This Row],[Profit]]/Table2[[#This Row],[Sales]]</f>
        <v>0.1470904578047435</v>
      </c>
    </row>
    <row r="315" spans="1:8" ht="12" customHeight="1" x14ac:dyDescent="0.3">
      <c r="A315" s="13">
        <v>2314</v>
      </c>
      <c r="B315" s="14" t="s">
        <v>224</v>
      </c>
      <c r="C315" s="13" t="s">
        <v>402</v>
      </c>
      <c r="D315" s="13" t="s">
        <v>405</v>
      </c>
      <c r="E315" s="13" t="s">
        <v>412</v>
      </c>
      <c r="F315" s="15">
        <v>12619</v>
      </c>
      <c r="G315" s="15">
        <v>3598.22</v>
      </c>
      <c r="H315" s="15">
        <f>Table2[[#This Row],[Profit]]/Table2[[#This Row],[Sales]]</f>
        <v>0.2851430382756161</v>
      </c>
    </row>
    <row r="316" spans="1:8" ht="12" customHeight="1" x14ac:dyDescent="0.3">
      <c r="A316" s="13">
        <v>2315</v>
      </c>
      <c r="B316" s="14" t="s">
        <v>138</v>
      </c>
      <c r="C316" s="13" t="s">
        <v>404</v>
      </c>
      <c r="D316" s="13" t="s">
        <v>410</v>
      </c>
      <c r="E316" s="13" t="s">
        <v>413</v>
      </c>
      <c r="F316" s="15">
        <v>8708</v>
      </c>
      <c r="G316" s="15">
        <v>966.67</v>
      </c>
      <c r="H316" s="15">
        <f>Table2[[#This Row],[Profit]]/Table2[[#This Row],[Sales]]</f>
        <v>0.11100941662838769</v>
      </c>
    </row>
    <row r="317" spans="1:8" ht="12" customHeight="1" x14ac:dyDescent="0.3">
      <c r="A317" s="13">
        <v>2316</v>
      </c>
      <c r="B317" s="14" t="s">
        <v>225</v>
      </c>
      <c r="C317" s="13" t="s">
        <v>403</v>
      </c>
      <c r="D317" s="13" t="s">
        <v>406</v>
      </c>
      <c r="E317" s="13" t="s">
        <v>413</v>
      </c>
      <c r="F317" s="15">
        <v>26197</v>
      </c>
      <c r="G317" s="15">
        <v>2160.79</v>
      </c>
      <c r="H317" s="15">
        <f>Table2[[#This Row],[Profit]]/Table2[[#This Row],[Sales]]</f>
        <v>8.2482345306714513E-2</v>
      </c>
    </row>
    <row r="318" spans="1:8" ht="12" customHeight="1" x14ac:dyDescent="0.3">
      <c r="A318" s="13">
        <v>2317</v>
      </c>
      <c r="B318" s="14" t="s">
        <v>93</v>
      </c>
      <c r="C318" s="13" t="s">
        <v>404</v>
      </c>
      <c r="D318" s="13" t="s">
        <v>409</v>
      </c>
      <c r="E318" s="13" t="s">
        <v>412</v>
      </c>
      <c r="F318" s="15">
        <v>15001</v>
      </c>
      <c r="G318" s="15">
        <v>2143.0700000000002</v>
      </c>
      <c r="H318" s="15">
        <f>Table2[[#This Row],[Profit]]/Table2[[#This Row],[Sales]]</f>
        <v>0.14286180921271915</v>
      </c>
    </row>
    <row r="319" spans="1:8" ht="12" customHeight="1" x14ac:dyDescent="0.3">
      <c r="A319" s="13">
        <v>2318</v>
      </c>
      <c r="B319" s="14" t="s">
        <v>221</v>
      </c>
      <c r="C319" s="13" t="s">
        <v>402</v>
      </c>
      <c r="D319" s="13" t="s">
        <v>410</v>
      </c>
      <c r="E319" s="13" t="s">
        <v>412</v>
      </c>
      <c r="F319" s="15">
        <v>14440</v>
      </c>
      <c r="G319" s="15">
        <v>4233.5</v>
      </c>
      <c r="H319" s="15">
        <f>Table2[[#This Row],[Profit]]/Table2[[#This Row],[Sales]]</f>
        <v>0.2931786703601108</v>
      </c>
    </row>
    <row r="320" spans="1:8" ht="12" customHeight="1" x14ac:dyDescent="0.3">
      <c r="A320" s="13">
        <v>2319</v>
      </c>
      <c r="B320" s="14" t="s">
        <v>226</v>
      </c>
      <c r="C320" s="13" t="s">
        <v>403</v>
      </c>
      <c r="D320" s="13" t="s">
        <v>410</v>
      </c>
      <c r="E320" s="13" t="s">
        <v>411</v>
      </c>
      <c r="F320" s="15">
        <v>27990</v>
      </c>
      <c r="G320" s="15">
        <v>5735.74</v>
      </c>
      <c r="H320" s="15">
        <f>Table2[[#This Row],[Profit]]/Table2[[#This Row],[Sales]]</f>
        <v>0.2049210432297249</v>
      </c>
    </row>
    <row r="321" spans="1:8" ht="12" customHeight="1" x14ac:dyDescent="0.3">
      <c r="A321" s="13">
        <v>2320</v>
      </c>
      <c r="B321" s="14" t="s">
        <v>208</v>
      </c>
      <c r="C321" s="13" t="s">
        <v>404</v>
      </c>
      <c r="D321" s="13" t="s">
        <v>407</v>
      </c>
      <c r="E321" s="13" t="s">
        <v>412</v>
      </c>
      <c r="F321" s="15">
        <v>16551</v>
      </c>
      <c r="G321" s="15">
        <v>2795.19</v>
      </c>
      <c r="H321" s="15">
        <f>Table2[[#This Row],[Profit]]/Table2[[#This Row],[Sales]]</f>
        <v>0.16888345115098785</v>
      </c>
    </row>
    <row r="322" spans="1:8" ht="12" customHeight="1" x14ac:dyDescent="0.3">
      <c r="A322" s="13">
        <v>2321</v>
      </c>
      <c r="B322" s="14" t="s">
        <v>227</v>
      </c>
      <c r="C322" s="13" t="s">
        <v>403</v>
      </c>
      <c r="D322" s="13" t="s">
        <v>406</v>
      </c>
      <c r="E322" s="13" t="s">
        <v>411</v>
      </c>
      <c r="F322" s="15">
        <v>10112</v>
      </c>
      <c r="G322" s="15">
        <v>1831.45</v>
      </c>
      <c r="H322" s="15">
        <f>Table2[[#This Row],[Profit]]/Table2[[#This Row],[Sales]]</f>
        <v>0.18111649525316456</v>
      </c>
    </row>
    <row r="323" spans="1:8" ht="12" customHeight="1" x14ac:dyDescent="0.3">
      <c r="A323" s="13">
        <v>2322</v>
      </c>
      <c r="B323" s="14" t="s">
        <v>228</v>
      </c>
      <c r="C323" s="13" t="s">
        <v>404</v>
      </c>
      <c r="D323" s="13" t="s">
        <v>406</v>
      </c>
      <c r="E323" s="13" t="s">
        <v>413</v>
      </c>
      <c r="F323" s="15">
        <v>13882</v>
      </c>
      <c r="G323" s="15">
        <v>1699.01</v>
      </c>
      <c r="H323" s="15">
        <f>Table2[[#This Row],[Profit]]/Table2[[#This Row],[Sales]]</f>
        <v>0.12238942515487682</v>
      </c>
    </row>
    <row r="324" spans="1:8" ht="12" customHeight="1" x14ac:dyDescent="0.3">
      <c r="A324" s="13">
        <v>2323</v>
      </c>
      <c r="B324" s="14" t="s">
        <v>122</v>
      </c>
      <c r="C324" s="13" t="s">
        <v>402</v>
      </c>
      <c r="D324" s="13" t="s">
        <v>409</v>
      </c>
      <c r="E324" s="13" t="s">
        <v>411</v>
      </c>
      <c r="F324" s="15">
        <v>26216</v>
      </c>
      <c r="G324" s="15">
        <v>4957.1400000000003</v>
      </c>
      <c r="H324" s="15">
        <f>Table2[[#This Row],[Profit]]/Table2[[#This Row],[Sales]]</f>
        <v>0.18908834299664329</v>
      </c>
    </row>
    <row r="325" spans="1:8" ht="12" customHeight="1" x14ac:dyDescent="0.3">
      <c r="A325" s="13">
        <v>2324</v>
      </c>
      <c r="B325" s="14" t="s">
        <v>183</v>
      </c>
      <c r="C325" s="13" t="s">
        <v>401</v>
      </c>
      <c r="D325" s="13" t="s">
        <v>408</v>
      </c>
      <c r="E325" s="13" t="s">
        <v>413</v>
      </c>
      <c r="F325" s="15">
        <v>22310</v>
      </c>
      <c r="G325" s="15">
        <v>2588.09</v>
      </c>
      <c r="H325" s="15">
        <f>Table2[[#This Row],[Profit]]/Table2[[#This Row],[Sales]]</f>
        <v>0.11600582698341552</v>
      </c>
    </row>
    <row r="326" spans="1:8" ht="12" customHeight="1" x14ac:dyDescent="0.3">
      <c r="A326" s="13">
        <v>2325</v>
      </c>
      <c r="B326" s="14" t="s">
        <v>229</v>
      </c>
      <c r="C326" s="13" t="s">
        <v>403</v>
      </c>
      <c r="D326" s="13" t="s">
        <v>407</v>
      </c>
      <c r="E326" s="13" t="s">
        <v>412</v>
      </c>
      <c r="F326" s="15">
        <v>11872</v>
      </c>
      <c r="G326" s="15">
        <v>1561.32</v>
      </c>
      <c r="H326" s="15">
        <f>Table2[[#This Row],[Profit]]/Table2[[#This Row],[Sales]]</f>
        <v>0.13151280323450135</v>
      </c>
    </row>
    <row r="327" spans="1:8" ht="12" customHeight="1" x14ac:dyDescent="0.3">
      <c r="A327" s="13">
        <v>2326</v>
      </c>
      <c r="B327" s="14" t="s">
        <v>230</v>
      </c>
      <c r="C327" s="13" t="s">
        <v>403</v>
      </c>
      <c r="D327" s="13" t="s">
        <v>407</v>
      </c>
      <c r="E327" s="13" t="s">
        <v>411</v>
      </c>
      <c r="F327" s="15">
        <v>21411</v>
      </c>
      <c r="G327" s="15">
        <v>2784.17</v>
      </c>
      <c r="H327" s="15">
        <f>Table2[[#This Row],[Profit]]/Table2[[#This Row],[Sales]]</f>
        <v>0.13003456167390595</v>
      </c>
    </row>
    <row r="328" spans="1:8" ht="12" customHeight="1" x14ac:dyDescent="0.3">
      <c r="A328" s="13">
        <v>2327</v>
      </c>
      <c r="B328" s="14" t="s">
        <v>231</v>
      </c>
      <c r="C328" s="13" t="s">
        <v>401</v>
      </c>
      <c r="D328" s="13" t="s">
        <v>408</v>
      </c>
      <c r="E328" s="13" t="s">
        <v>412</v>
      </c>
      <c r="F328" s="15">
        <v>13364</v>
      </c>
      <c r="G328" s="15">
        <v>2042.25</v>
      </c>
      <c r="H328" s="15">
        <f>Table2[[#This Row],[Profit]]/Table2[[#This Row],[Sales]]</f>
        <v>0.15281727027835978</v>
      </c>
    </row>
    <row r="329" spans="1:8" ht="12" customHeight="1" x14ac:dyDescent="0.3">
      <c r="A329" s="13">
        <v>2328</v>
      </c>
      <c r="B329" s="14" t="s">
        <v>188</v>
      </c>
      <c r="C329" s="13" t="s">
        <v>404</v>
      </c>
      <c r="D329" s="13" t="s">
        <v>408</v>
      </c>
      <c r="E329" s="13" t="s">
        <v>411</v>
      </c>
      <c r="F329" s="15">
        <v>22737</v>
      </c>
      <c r="G329" s="15">
        <v>2164.34</v>
      </c>
      <c r="H329" s="15">
        <f>Table2[[#This Row],[Profit]]/Table2[[#This Row],[Sales]]</f>
        <v>9.5190218586445011E-2</v>
      </c>
    </row>
    <row r="330" spans="1:8" ht="12" customHeight="1" x14ac:dyDescent="0.3">
      <c r="A330" s="13">
        <v>2329</v>
      </c>
      <c r="B330" s="14" t="s">
        <v>185</v>
      </c>
      <c r="C330" s="13" t="s">
        <v>402</v>
      </c>
      <c r="D330" s="13" t="s">
        <v>409</v>
      </c>
      <c r="E330" s="13" t="s">
        <v>411</v>
      </c>
      <c r="F330" s="15">
        <v>17189</v>
      </c>
      <c r="G330" s="15">
        <v>4195.45</v>
      </c>
      <c r="H330" s="15">
        <f>Table2[[#This Row],[Profit]]/Table2[[#This Row],[Sales]]</f>
        <v>0.24407760777241258</v>
      </c>
    </row>
    <row r="331" spans="1:8" ht="12" customHeight="1" x14ac:dyDescent="0.3">
      <c r="A331" s="13">
        <v>2330</v>
      </c>
      <c r="B331" s="14" t="s">
        <v>232</v>
      </c>
      <c r="C331" s="13" t="s">
        <v>402</v>
      </c>
      <c r="D331" s="13" t="s">
        <v>408</v>
      </c>
      <c r="E331" s="13" t="s">
        <v>413</v>
      </c>
      <c r="F331" s="15">
        <v>12175</v>
      </c>
      <c r="G331" s="15">
        <v>2705.57</v>
      </c>
      <c r="H331" s="15">
        <f>Table2[[#This Row],[Profit]]/Table2[[#This Row],[Sales]]</f>
        <v>0.22222340862422998</v>
      </c>
    </row>
    <row r="332" spans="1:8" ht="12" customHeight="1" x14ac:dyDescent="0.3">
      <c r="A332" s="13">
        <v>2331</v>
      </c>
      <c r="B332" s="14" t="s">
        <v>15</v>
      </c>
      <c r="C332" s="13" t="s">
        <v>402</v>
      </c>
      <c r="D332" s="13" t="s">
        <v>410</v>
      </c>
      <c r="E332" s="13" t="s">
        <v>413</v>
      </c>
      <c r="F332" s="15">
        <v>20345</v>
      </c>
      <c r="G332" s="15">
        <v>5516.56</v>
      </c>
      <c r="H332" s="15">
        <f>Table2[[#This Row],[Profit]]/Table2[[#This Row],[Sales]]</f>
        <v>0.27115065126566729</v>
      </c>
    </row>
    <row r="333" spans="1:8" ht="12" customHeight="1" x14ac:dyDescent="0.3">
      <c r="A333" s="13">
        <v>2332</v>
      </c>
      <c r="B333" s="14" t="s">
        <v>233</v>
      </c>
      <c r="C333" s="13" t="s">
        <v>404</v>
      </c>
      <c r="D333" s="13" t="s">
        <v>407</v>
      </c>
      <c r="E333" s="13" t="s">
        <v>412</v>
      </c>
      <c r="F333" s="15">
        <v>1586</v>
      </c>
      <c r="G333" s="15">
        <v>337.87</v>
      </c>
      <c r="H333" s="15">
        <f>Table2[[#This Row],[Profit]]/Table2[[#This Row],[Sales]]</f>
        <v>0.21303278688524591</v>
      </c>
    </row>
    <row r="334" spans="1:8" ht="12" customHeight="1" x14ac:dyDescent="0.3">
      <c r="A334" s="13">
        <v>2333</v>
      </c>
      <c r="B334" s="14" t="s">
        <v>165</v>
      </c>
      <c r="C334" s="13" t="s">
        <v>401</v>
      </c>
      <c r="D334" s="13" t="s">
        <v>408</v>
      </c>
      <c r="E334" s="13" t="s">
        <v>411</v>
      </c>
      <c r="F334" s="15">
        <v>17400</v>
      </c>
      <c r="G334" s="15">
        <v>3298.92</v>
      </c>
      <c r="H334" s="15">
        <f>Table2[[#This Row],[Profit]]/Table2[[#This Row],[Sales]]</f>
        <v>0.18959310344827587</v>
      </c>
    </row>
    <row r="335" spans="1:8" ht="12" customHeight="1" x14ac:dyDescent="0.3">
      <c r="A335" s="13">
        <v>2334</v>
      </c>
      <c r="B335" s="14" t="s">
        <v>234</v>
      </c>
      <c r="C335" s="13" t="s">
        <v>404</v>
      </c>
      <c r="D335" s="13" t="s">
        <v>406</v>
      </c>
      <c r="E335" s="13" t="s">
        <v>411</v>
      </c>
      <c r="F335" s="15">
        <v>26019</v>
      </c>
      <c r="G335" s="15">
        <v>4668.01</v>
      </c>
      <c r="H335" s="15">
        <f>Table2[[#This Row],[Profit]]/Table2[[#This Row],[Sales]]</f>
        <v>0.17940774049732888</v>
      </c>
    </row>
    <row r="336" spans="1:8" ht="12" customHeight="1" x14ac:dyDescent="0.3">
      <c r="A336" s="13">
        <v>2335</v>
      </c>
      <c r="B336" s="14" t="s">
        <v>149</v>
      </c>
      <c r="C336" s="13" t="s">
        <v>402</v>
      </c>
      <c r="D336" s="13" t="s">
        <v>410</v>
      </c>
      <c r="E336" s="13" t="s">
        <v>412</v>
      </c>
      <c r="F336" s="15">
        <v>13270</v>
      </c>
      <c r="G336" s="15">
        <v>2039.21</v>
      </c>
      <c r="H336" s="15">
        <f>Table2[[#This Row],[Profit]]/Table2[[#This Row],[Sales]]</f>
        <v>0.15367068575734741</v>
      </c>
    </row>
    <row r="337" spans="1:8" ht="12" customHeight="1" x14ac:dyDescent="0.3">
      <c r="A337" s="13">
        <v>2336</v>
      </c>
      <c r="B337" s="14" t="s">
        <v>235</v>
      </c>
      <c r="C337" s="13" t="s">
        <v>403</v>
      </c>
      <c r="D337" s="13" t="s">
        <v>408</v>
      </c>
      <c r="E337" s="13" t="s">
        <v>413</v>
      </c>
      <c r="F337" s="15">
        <v>15129</v>
      </c>
      <c r="G337" s="15">
        <v>3368.02</v>
      </c>
      <c r="H337" s="15">
        <f>Table2[[#This Row],[Profit]]/Table2[[#This Row],[Sales]]</f>
        <v>0.22262013351840834</v>
      </c>
    </row>
    <row r="338" spans="1:8" ht="12" customHeight="1" x14ac:dyDescent="0.3">
      <c r="A338" s="13">
        <v>2337</v>
      </c>
      <c r="B338" s="14" t="s">
        <v>236</v>
      </c>
      <c r="C338" s="13" t="s">
        <v>401</v>
      </c>
      <c r="D338" s="13" t="s">
        <v>407</v>
      </c>
      <c r="E338" s="13" t="s">
        <v>412</v>
      </c>
      <c r="F338" s="15">
        <v>6584</v>
      </c>
      <c r="G338" s="15">
        <v>1616.71</v>
      </c>
      <c r="H338" s="15">
        <f>Table2[[#This Row],[Profit]]/Table2[[#This Row],[Sales]]</f>
        <v>0.24555133657351155</v>
      </c>
    </row>
    <row r="339" spans="1:8" ht="12" customHeight="1" x14ac:dyDescent="0.3">
      <c r="A339" s="13">
        <v>2338</v>
      </c>
      <c r="B339" s="14" t="s">
        <v>232</v>
      </c>
      <c r="C339" s="13" t="s">
        <v>402</v>
      </c>
      <c r="D339" s="13" t="s">
        <v>410</v>
      </c>
      <c r="E339" s="13" t="s">
        <v>411</v>
      </c>
      <c r="F339" s="15">
        <v>12221</v>
      </c>
      <c r="G339" s="15">
        <v>1209.4000000000001</v>
      </c>
      <c r="H339" s="15">
        <f>Table2[[#This Row],[Profit]]/Table2[[#This Row],[Sales]]</f>
        <v>9.8960805171426247E-2</v>
      </c>
    </row>
    <row r="340" spans="1:8" ht="12" customHeight="1" x14ac:dyDescent="0.3">
      <c r="A340" s="13">
        <v>2339</v>
      </c>
      <c r="B340" s="14" t="s">
        <v>237</v>
      </c>
      <c r="C340" s="13" t="s">
        <v>402</v>
      </c>
      <c r="D340" s="13" t="s">
        <v>406</v>
      </c>
      <c r="E340" s="13" t="s">
        <v>413</v>
      </c>
      <c r="F340" s="15">
        <v>13425</v>
      </c>
      <c r="G340" s="15">
        <v>1424.82</v>
      </c>
      <c r="H340" s="15">
        <f>Table2[[#This Row],[Profit]]/Table2[[#This Row],[Sales]]</f>
        <v>0.10613184357541899</v>
      </c>
    </row>
    <row r="341" spans="1:8" ht="12" customHeight="1" x14ac:dyDescent="0.3">
      <c r="A341" s="13">
        <v>2340</v>
      </c>
      <c r="B341" s="14" t="s">
        <v>238</v>
      </c>
      <c r="C341" s="13" t="s">
        <v>403</v>
      </c>
      <c r="D341" s="13" t="s">
        <v>405</v>
      </c>
      <c r="E341" s="13" t="s">
        <v>411</v>
      </c>
      <c r="F341" s="15">
        <v>9620</v>
      </c>
      <c r="G341" s="15">
        <v>1778.72</v>
      </c>
      <c r="H341" s="15">
        <f>Table2[[#This Row],[Profit]]/Table2[[#This Row],[Sales]]</f>
        <v>0.1848981288981289</v>
      </c>
    </row>
    <row r="342" spans="1:8" ht="12" customHeight="1" x14ac:dyDescent="0.3">
      <c r="A342" s="13">
        <v>2341</v>
      </c>
      <c r="B342" s="14" t="s">
        <v>239</v>
      </c>
      <c r="C342" s="13" t="s">
        <v>404</v>
      </c>
      <c r="D342" s="13" t="s">
        <v>408</v>
      </c>
      <c r="E342" s="13" t="s">
        <v>411</v>
      </c>
      <c r="F342" s="15">
        <v>28059</v>
      </c>
      <c r="G342" s="15">
        <v>4571.91</v>
      </c>
      <c r="H342" s="15">
        <f>Table2[[#This Row],[Profit]]/Table2[[#This Row],[Sales]]</f>
        <v>0.16293916390462954</v>
      </c>
    </row>
    <row r="343" spans="1:8" ht="12" customHeight="1" x14ac:dyDescent="0.3">
      <c r="A343" s="13">
        <v>2342</v>
      </c>
      <c r="B343" s="14" t="s">
        <v>60</v>
      </c>
      <c r="C343" s="13" t="s">
        <v>404</v>
      </c>
      <c r="D343" s="13" t="s">
        <v>405</v>
      </c>
      <c r="E343" s="13" t="s">
        <v>411</v>
      </c>
      <c r="F343" s="15">
        <v>28181</v>
      </c>
      <c r="G343" s="15">
        <v>7301.09</v>
      </c>
      <c r="H343" s="15">
        <f>Table2[[#This Row],[Profit]]/Table2[[#This Row],[Sales]]</f>
        <v>0.25907845711649696</v>
      </c>
    </row>
    <row r="344" spans="1:8" ht="12" customHeight="1" x14ac:dyDescent="0.3">
      <c r="A344" s="13">
        <v>2343</v>
      </c>
      <c r="B344" s="14" t="s">
        <v>29</v>
      </c>
      <c r="C344" s="13" t="s">
        <v>401</v>
      </c>
      <c r="D344" s="13" t="s">
        <v>408</v>
      </c>
      <c r="E344" s="13" t="s">
        <v>412</v>
      </c>
      <c r="F344" s="15">
        <v>14129</v>
      </c>
      <c r="G344" s="15">
        <v>1221.69</v>
      </c>
      <c r="H344" s="15">
        <f>Table2[[#This Row],[Profit]]/Table2[[#This Row],[Sales]]</f>
        <v>8.6466841248496004E-2</v>
      </c>
    </row>
    <row r="345" spans="1:8" ht="12" customHeight="1" x14ac:dyDescent="0.3">
      <c r="A345" s="13">
        <v>2344</v>
      </c>
      <c r="B345" s="14" t="s">
        <v>209</v>
      </c>
      <c r="C345" s="13" t="s">
        <v>402</v>
      </c>
      <c r="D345" s="13" t="s">
        <v>406</v>
      </c>
      <c r="E345" s="13" t="s">
        <v>412</v>
      </c>
      <c r="F345" s="15">
        <v>21755</v>
      </c>
      <c r="G345" s="15">
        <v>2095.02</v>
      </c>
      <c r="H345" s="15">
        <f>Table2[[#This Row],[Profit]]/Table2[[#This Row],[Sales]]</f>
        <v>9.6300620547000684E-2</v>
      </c>
    </row>
    <row r="346" spans="1:8" ht="12" customHeight="1" x14ac:dyDescent="0.3">
      <c r="A346" s="13">
        <v>2345</v>
      </c>
      <c r="B346" s="14" t="s">
        <v>196</v>
      </c>
      <c r="C346" s="13" t="s">
        <v>404</v>
      </c>
      <c r="D346" s="13" t="s">
        <v>407</v>
      </c>
      <c r="E346" s="13" t="s">
        <v>413</v>
      </c>
      <c r="F346" s="15">
        <v>19055</v>
      </c>
      <c r="G346" s="15">
        <v>1845.38</v>
      </c>
      <c r="H346" s="15">
        <f>Table2[[#This Row],[Profit]]/Table2[[#This Row],[Sales]]</f>
        <v>9.6844922592495414E-2</v>
      </c>
    </row>
    <row r="347" spans="1:8" ht="12" customHeight="1" x14ac:dyDescent="0.3">
      <c r="A347" s="13">
        <v>2346</v>
      </c>
      <c r="B347" s="14" t="s">
        <v>240</v>
      </c>
      <c r="C347" s="13" t="s">
        <v>402</v>
      </c>
      <c r="D347" s="13" t="s">
        <v>409</v>
      </c>
      <c r="E347" s="13" t="s">
        <v>413</v>
      </c>
      <c r="F347" s="15">
        <v>9242</v>
      </c>
      <c r="G347" s="15">
        <v>767.18</v>
      </c>
      <c r="H347" s="15">
        <f>Table2[[#This Row],[Profit]]/Table2[[#This Row],[Sales]]</f>
        <v>8.3010170958666946E-2</v>
      </c>
    </row>
    <row r="348" spans="1:8" ht="12" customHeight="1" x14ac:dyDescent="0.3">
      <c r="A348" s="13">
        <v>2347</v>
      </c>
      <c r="B348" s="14" t="s">
        <v>241</v>
      </c>
      <c r="C348" s="13" t="s">
        <v>404</v>
      </c>
      <c r="D348" s="13" t="s">
        <v>410</v>
      </c>
      <c r="E348" s="13" t="s">
        <v>411</v>
      </c>
      <c r="F348" s="15">
        <v>21732</v>
      </c>
      <c r="G348" s="15">
        <v>5279.98</v>
      </c>
      <c r="H348" s="15">
        <f>Table2[[#This Row],[Profit]]/Table2[[#This Row],[Sales]]</f>
        <v>0.24295877047671635</v>
      </c>
    </row>
    <row r="349" spans="1:8" ht="12" customHeight="1" x14ac:dyDescent="0.3">
      <c r="A349" s="13">
        <v>2348</v>
      </c>
      <c r="B349" s="14" t="s">
        <v>150</v>
      </c>
      <c r="C349" s="13" t="s">
        <v>404</v>
      </c>
      <c r="D349" s="13" t="s">
        <v>407</v>
      </c>
      <c r="E349" s="13" t="s">
        <v>412</v>
      </c>
      <c r="F349" s="15">
        <v>26216</v>
      </c>
      <c r="G349" s="15">
        <v>4146.7299999999996</v>
      </c>
      <c r="H349" s="15">
        <f>Table2[[#This Row],[Profit]]/Table2[[#This Row],[Sales]]</f>
        <v>0.15817554165395176</v>
      </c>
    </row>
    <row r="350" spans="1:8" ht="12" customHeight="1" x14ac:dyDescent="0.3">
      <c r="A350" s="13">
        <v>2349</v>
      </c>
      <c r="B350" s="14" t="s">
        <v>242</v>
      </c>
      <c r="C350" s="13" t="s">
        <v>401</v>
      </c>
      <c r="D350" s="13" t="s">
        <v>408</v>
      </c>
      <c r="E350" s="13" t="s">
        <v>413</v>
      </c>
      <c r="F350" s="15">
        <v>17909</v>
      </c>
      <c r="G350" s="15">
        <v>2262.27</v>
      </c>
      <c r="H350" s="15">
        <f>Table2[[#This Row],[Profit]]/Table2[[#This Row],[Sales]]</f>
        <v>0.12632028588977609</v>
      </c>
    </row>
    <row r="351" spans="1:8" ht="12" customHeight="1" x14ac:dyDescent="0.3">
      <c r="A351" s="13">
        <v>2350</v>
      </c>
      <c r="B351" s="14" t="s">
        <v>243</v>
      </c>
      <c r="C351" s="13" t="s">
        <v>403</v>
      </c>
      <c r="D351" s="13" t="s">
        <v>409</v>
      </c>
      <c r="E351" s="13" t="s">
        <v>411</v>
      </c>
      <c r="F351" s="15">
        <v>8534</v>
      </c>
      <c r="G351" s="15">
        <v>694.13</v>
      </c>
      <c r="H351" s="15">
        <f>Table2[[#This Row],[Profit]]/Table2[[#This Row],[Sales]]</f>
        <v>8.1337004921490513E-2</v>
      </c>
    </row>
    <row r="352" spans="1:8" ht="12" customHeight="1" x14ac:dyDescent="0.3">
      <c r="A352" s="13">
        <v>2351</v>
      </c>
      <c r="B352" s="14" t="s">
        <v>244</v>
      </c>
      <c r="C352" s="13" t="s">
        <v>402</v>
      </c>
      <c r="D352" s="13" t="s">
        <v>410</v>
      </c>
      <c r="E352" s="13" t="s">
        <v>411</v>
      </c>
      <c r="F352" s="15">
        <v>20371</v>
      </c>
      <c r="G352" s="15">
        <v>4244.04</v>
      </c>
      <c r="H352" s="15">
        <f>Table2[[#This Row],[Profit]]/Table2[[#This Row],[Sales]]</f>
        <v>0.20833734230032891</v>
      </c>
    </row>
    <row r="353" spans="1:8" ht="12" customHeight="1" x14ac:dyDescent="0.3">
      <c r="A353" s="13">
        <v>2352</v>
      </c>
      <c r="B353" s="14" t="s">
        <v>36</v>
      </c>
      <c r="C353" s="13" t="s">
        <v>403</v>
      </c>
      <c r="D353" s="13" t="s">
        <v>409</v>
      </c>
      <c r="E353" s="13" t="s">
        <v>413</v>
      </c>
      <c r="F353" s="15">
        <v>26597</v>
      </c>
      <c r="G353" s="15">
        <v>4029.3</v>
      </c>
      <c r="H353" s="15">
        <f>Table2[[#This Row],[Profit]]/Table2[[#This Row],[Sales]]</f>
        <v>0.15149452945820957</v>
      </c>
    </row>
    <row r="354" spans="1:8" ht="12" customHeight="1" x14ac:dyDescent="0.3">
      <c r="A354" s="13">
        <v>2353</v>
      </c>
      <c r="B354" s="14" t="s">
        <v>245</v>
      </c>
      <c r="C354" s="13" t="s">
        <v>404</v>
      </c>
      <c r="D354" s="13" t="s">
        <v>408</v>
      </c>
      <c r="E354" s="13" t="s">
        <v>412</v>
      </c>
      <c r="F354" s="15">
        <v>7451</v>
      </c>
      <c r="G354" s="15">
        <v>2124.35</v>
      </c>
      <c r="H354" s="15">
        <f>Table2[[#This Row],[Profit]]/Table2[[#This Row],[Sales]]</f>
        <v>0.28510938129110186</v>
      </c>
    </row>
    <row r="355" spans="1:8" ht="12" customHeight="1" x14ac:dyDescent="0.3">
      <c r="A355" s="13">
        <v>2354</v>
      </c>
      <c r="B355" s="14" t="s">
        <v>61</v>
      </c>
      <c r="C355" s="13" t="s">
        <v>404</v>
      </c>
      <c r="D355" s="13" t="s">
        <v>409</v>
      </c>
      <c r="E355" s="13" t="s">
        <v>412</v>
      </c>
      <c r="F355" s="15">
        <v>4622</v>
      </c>
      <c r="G355" s="15">
        <v>1350.65</v>
      </c>
      <c r="H355" s="15">
        <f>Table2[[#This Row],[Profit]]/Table2[[#This Row],[Sales]]</f>
        <v>0.29222198182604936</v>
      </c>
    </row>
    <row r="356" spans="1:8" ht="12" customHeight="1" x14ac:dyDescent="0.3">
      <c r="A356" s="13">
        <v>2355</v>
      </c>
      <c r="B356" s="14" t="s">
        <v>246</v>
      </c>
      <c r="C356" s="13" t="s">
        <v>404</v>
      </c>
      <c r="D356" s="13" t="s">
        <v>410</v>
      </c>
      <c r="E356" s="13" t="s">
        <v>412</v>
      </c>
      <c r="F356" s="15">
        <v>6847</v>
      </c>
      <c r="G356" s="15">
        <v>581.91999999999996</v>
      </c>
      <c r="H356" s="15">
        <f>Table2[[#This Row],[Profit]]/Table2[[#This Row],[Sales]]</f>
        <v>8.4989046297648599E-2</v>
      </c>
    </row>
    <row r="357" spans="1:8" ht="12" customHeight="1" x14ac:dyDescent="0.3">
      <c r="A357" s="13">
        <v>2356</v>
      </c>
      <c r="B357" s="14" t="s">
        <v>247</v>
      </c>
      <c r="C357" s="13" t="s">
        <v>404</v>
      </c>
      <c r="D357" s="13" t="s">
        <v>405</v>
      </c>
      <c r="E357" s="13" t="s">
        <v>413</v>
      </c>
      <c r="F357" s="15">
        <v>7252</v>
      </c>
      <c r="G357" s="15">
        <v>1938.94</v>
      </c>
      <c r="H357" s="15">
        <f>Table2[[#This Row],[Profit]]/Table2[[#This Row],[Sales]]</f>
        <v>0.26736624379481522</v>
      </c>
    </row>
    <row r="358" spans="1:8" ht="12" customHeight="1" x14ac:dyDescent="0.3">
      <c r="A358" s="13">
        <v>2357</v>
      </c>
      <c r="B358" s="14" t="s">
        <v>245</v>
      </c>
      <c r="C358" s="13" t="s">
        <v>404</v>
      </c>
      <c r="D358" s="13" t="s">
        <v>409</v>
      </c>
      <c r="E358" s="13" t="s">
        <v>412</v>
      </c>
      <c r="F358" s="15">
        <v>14541</v>
      </c>
      <c r="G358" s="15">
        <v>3130.49</v>
      </c>
      <c r="H358" s="15">
        <f>Table2[[#This Row],[Profit]]/Table2[[#This Row],[Sales]]</f>
        <v>0.21528711918024893</v>
      </c>
    </row>
    <row r="359" spans="1:8" ht="12" customHeight="1" x14ac:dyDescent="0.3">
      <c r="A359" s="13">
        <v>2358</v>
      </c>
      <c r="B359" s="14" t="s">
        <v>248</v>
      </c>
      <c r="C359" s="13" t="s">
        <v>404</v>
      </c>
      <c r="D359" s="13" t="s">
        <v>407</v>
      </c>
      <c r="E359" s="13" t="s">
        <v>412</v>
      </c>
      <c r="F359" s="15">
        <v>5212</v>
      </c>
      <c r="G359" s="15">
        <v>1544.77</v>
      </c>
      <c r="H359" s="15">
        <f>Table2[[#This Row],[Profit]]/Table2[[#This Row],[Sales]]</f>
        <v>0.29638718342287029</v>
      </c>
    </row>
    <row r="360" spans="1:8" ht="12" customHeight="1" x14ac:dyDescent="0.3">
      <c r="A360" s="13">
        <v>2359</v>
      </c>
      <c r="B360" s="14" t="s">
        <v>116</v>
      </c>
      <c r="C360" s="13" t="s">
        <v>404</v>
      </c>
      <c r="D360" s="13" t="s">
        <v>410</v>
      </c>
      <c r="E360" s="13" t="s">
        <v>411</v>
      </c>
      <c r="F360" s="15">
        <v>6252</v>
      </c>
      <c r="G360" s="15">
        <v>1423.92</v>
      </c>
      <c r="H360" s="15">
        <f>Table2[[#This Row],[Profit]]/Table2[[#This Row],[Sales]]</f>
        <v>0.22775431861804224</v>
      </c>
    </row>
    <row r="361" spans="1:8" ht="12" customHeight="1" x14ac:dyDescent="0.3">
      <c r="A361" s="13">
        <v>2360</v>
      </c>
      <c r="B361" s="14" t="s">
        <v>106</v>
      </c>
      <c r="C361" s="13" t="s">
        <v>403</v>
      </c>
      <c r="D361" s="13" t="s">
        <v>410</v>
      </c>
      <c r="E361" s="13" t="s">
        <v>413</v>
      </c>
      <c r="F361" s="15">
        <v>10284</v>
      </c>
      <c r="G361" s="15">
        <v>1806.36</v>
      </c>
      <c r="H361" s="15">
        <f>Table2[[#This Row],[Profit]]/Table2[[#This Row],[Sales]]</f>
        <v>0.17564760793465575</v>
      </c>
    </row>
    <row r="362" spans="1:8" ht="12" customHeight="1" x14ac:dyDescent="0.3">
      <c r="A362" s="13">
        <v>2361</v>
      </c>
      <c r="B362" s="14" t="s">
        <v>224</v>
      </c>
      <c r="C362" s="13" t="s">
        <v>402</v>
      </c>
      <c r="D362" s="13" t="s">
        <v>407</v>
      </c>
      <c r="E362" s="13" t="s">
        <v>412</v>
      </c>
      <c r="F362" s="15">
        <v>6756</v>
      </c>
      <c r="G362" s="15">
        <v>1902.91</v>
      </c>
      <c r="H362" s="15">
        <f>Table2[[#This Row],[Profit]]/Table2[[#This Row],[Sales]]</f>
        <v>0.28166222616933095</v>
      </c>
    </row>
    <row r="363" spans="1:8" ht="12" customHeight="1" x14ac:dyDescent="0.3">
      <c r="A363" s="13">
        <v>2362</v>
      </c>
      <c r="B363" s="14" t="s">
        <v>175</v>
      </c>
      <c r="C363" s="13" t="s">
        <v>402</v>
      </c>
      <c r="D363" s="13" t="s">
        <v>409</v>
      </c>
      <c r="E363" s="13" t="s">
        <v>411</v>
      </c>
      <c r="F363" s="15">
        <v>15126</v>
      </c>
      <c r="G363" s="15">
        <v>2943.79</v>
      </c>
      <c r="H363" s="15">
        <f>Table2[[#This Row],[Profit]]/Table2[[#This Row],[Sales]]</f>
        <v>0.19461787650403278</v>
      </c>
    </row>
    <row r="364" spans="1:8" ht="12" customHeight="1" x14ac:dyDescent="0.3">
      <c r="A364" s="13">
        <v>2363</v>
      </c>
      <c r="B364" s="14" t="s">
        <v>198</v>
      </c>
      <c r="C364" s="13" t="s">
        <v>401</v>
      </c>
      <c r="D364" s="13" t="s">
        <v>409</v>
      </c>
      <c r="E364" s="13" t="s">
        <v>413</v>
      </c>
      <c r="F364" s="15">
        <v>21032</v>
      </c>
      <c r="G364" s="15">
        <v>5532.9</v>
      </c>
      <c r="H364" s="15">
        <f>Table2[[#This Row],[Profit]]/Table2[[#This Row],[Sales]]</f>
        <v>0.26307055914796501</v>
      </c>
    </row>
    <row r="365" spans="1:8" ht="12" customHeight="1" x14ac:dyDescent="0.3">
      <c r="A365" s="13">
        <v>2364</v>
      </c>
      <c r="B365" s="14" t="s">
        <v>249</v>
      </c>
      <c r="C365" s="13" t="s">
        <v>401</v>
      </c>
      <c r="D365" s="13" t="s">
        <v>409</v>
      </c>
      <c r="E365" s="13" t="s">
        <v>413</v>
      </c>
      <c r="F365" s="15">
        <v>11835</v>
      </c>
      <c r="G365" s="15">
        <v>1314.03</v>
      </c>
      <c r="H365" s="15">
        <f>Table2[[#This Row],[Profit]]/Table2[[#This Row],[Sales]]</f>
        <v>0.11102915082382762</v>
      </c>
    </row>
    <row r="366" spans="1:8" ht="12" customHeight="1" x14ac:dyDescent="0.3">
      <c r="A366" s="13">
        <v>2365</v>
      </c>
      <c r="B366" s="14" t="s">
        <v>250</v>
      </c>
      <c r="C366" s="13" t="s">
        <v>404</v>
      </c>
      <c r="D366" s="13" t="s">
        <v>405</v>
      </c>
      <c r="E366" s="13" t="s">
        <v>411</v>
      </c>
      <c r="F366" s="15">
        <v>26097</v>
      </c>
      <c r="G366" s="15">
        <v>5634.76</v>
      </c>
      <c r="H366" s="15">
        <f>Table2[[#This Row],[Profit]]/Table2[[#This Row],[Sales]]</f>
        <v>0.21591600567114994</v>
      </c>
    </row>
    <row r="367" spans="1:8" ht="12" customHeight="1" x14ac:dyDescent="0.3">
      <c r="A367" s="13">
        <v>2366</v>
      </c>
      <c r="B367" s="14" t="s">
        <v>213</v>
      </c>
      <c r="C367" s="13" t="s">
        <v>403</v>
      </c>
      <c r="D367" s="13" t="s">
        <v>405</v>
      </c>
      <c r="E367" s="13" t="s">
        <v>411</v>
      </c>
      <c r="F367" s="15">
        <v>8841</v>
      </c>
      <c r="G367" s="15">
        <v>1538.08</v>
      </c>
      <c r="H367" s="15">
        <f>Table2[[#This Row],[Profit]]/Table2[[#This Row],[Sales]]</f>
        <v>0.17397127021830108</v>
      </c>
    </row>
    <row r="368" spans="1:8" ht="12" customHeight="1" x14ac:dyDescent="0.3">
      <c r="A368" s="13">
        <v>2367</v>
      </c>
      <c r="B368" s="14" t="s">
        <v>251</v>
      </c>
      <c r="C368" s="13" t="s">
        <v>404</v>
      </c>
      <c r="D368" s="13" t="s">
        <v>408</v>
      </c>
      <c r="E368" s="13" t="s">
        <v>412</v>
      </c>
      <c r="F368" s="15">
        <v>2636</v>
      </c>
      <c r="G368" s="15">
        <v>709.11</v>
      </c>
      <c r="H368" s="15">
        <f>Table2[[#This Row],[Profit]]/Table2[[#This Row],[Sales]]</f>
        <v>0.26900986342943856</v>
      </c>
    </row>
    <row r="369" spans="1:8" ht="12" customHeight="1" x14ac:dyDescent="0.3">
      <c r="A369" s="13">
        <v>2368</v>
      </c>
      <c r="B369" s="14" t="s">
        <v>252</v>
      </c>
      <c r="C369" s="13" t="s">
        <v>404</v>
      </c>
      <c r="D369" s="13" t="s">
        <v>409</v>
      </c>
      <c r="E369" s="13" t="s">
        <v>412</v>
      </c>
      <c r="F369" s="15">
        <v>11451</v>
      </c>
      <c r="G369" s="15">
        <v>2133.0500000000002</v>
      </c>
      <c r="H369" s="15">
        <f>Table2[[#This Row],[Profit]]/Table2[[#This Row],[Sales]]</f>
        <v>0.18627630774604839</v>
      </c>
    </row>
    <row r="370" spans="1:8" ht="12" customHeight="1" x14ac:dyDescent="0.3">
      <c r="A370" s="13">
        <v>2369</v>
      </c>
      <c r="B370" s="14" t="s">
        <v>30</v>
      </c>
      <c r="C370" s="13" t="s">
        <v>403</v>
      </c>
      <c r="D370" s="13" t="s">
        <v>410</v>
      </c>
      <c r="E370" s="13" t="s">
        <v>411</v>
      </c>
      <c r="F370" s="15">
        <v>11300</v>
      </c>
      <c r="G370" s="15">
        <v>1096.27</v>
      </c>
      <c r="H370" s="15">
        <f>Table2[[#This Row],[Profit]]/Table2[[#This Row],[Sales]]</f>
        <v>9.7015044247787605E-2</v>
      </c>
    </row>
    <row r="371" spans="1:8" ht="12" customHeight="1" x14ac:dyDescent="0.3">
      <c r="A371" s="13">
        <v>2370</v>
      </c>
      <c r="B371" s="14" t="s">
        <v>105</v>
      </c>
      <c r="C371" s="13" t="s">
        <v>401</v>
      </c>
      <c r="D371" s="13" t="s">
        <v>405</v>
      </c>
      <c r="E371" s="13" t="s">
        <v>411</v>
      </c>
      <c r="F371" s="15">
        <v>18675</v>
      </c>
      <c r="G371" s="15">
        <v>2581.27</v>
      </c>
      <c r="H371" s="15">
        <f>Table2[[#This Row],[Profit]]/Table2[[#This Row],[Sales]]</f>
        <v>0.1382206157965194</v>
      </c>
    </row>
    <row r="372" spans="1:8" ht="12" customHeight="1" x14ac:dyDescent="0.3">
      <c r="A372" s="13">
        <v>2371</v>
      </c>
      <c r="B372" s="14" t="s">
        <v>169</v>
      </c>
      <c r="C372" s="13" t="s">
        <v>403</v>
      </c>
      <c r="D372" s="13" t="s">
        <v>405</v>
      </c>
      <c r="E372" s="13" t="s">
        <v>411</v>
      </c>
      <c r="F372" s="15">
        <v>23394</v>
      </c>
      <c r="G372" s="15">
        <v>5410.57</v>
      </c>
      <c r="H372" s="15">
        <f>Table2[[#This Row],[Profit]]/Table2[[#This Row],[Sales]]</f>
        <v>0.23128024279729845</v>
      </c>
    </row>
    <row r="373" spans="1:8" ht="12" customHeight="1" x14ac:dyDescent="0.3">
      <c r="A373" s="13">
        <v>2372</v>
      </c>
      <c r="B373" s="14" t="s">
        <v>124</v>
      </c>
      <c r="C373" s="13" t="s">
        <v>401</v>
      </c>
      <c r="D373" s="13" t="s">
        <v>406</v>
      </c>
      <c r="E373" s="13" t="s">
        <v>413</v>
      </c>
      <c r="F373" s="15">
        <v>13596</v>
      </c>
      <c r="G373" s="15">
        <v>1762</v>
      </c>
      <c r="H373" s="15">
        <f>Table2[[#This Row],[Profit]]/Table2[[#This Row],[Sales]]</f>
        <v>0.12959694027655191</v>
      </c>
    </row>
    <row r="374" spans="1:8" ht="12" customHeight="1" x14ac:dyDescent="0.3">
      <c r="A374" s="13">
        <v>2373</v>
      </c>
      <c r="B374" s="14" t="s">
        <v>48</v>
      </c>
      <c r="C374" s="13" t="s">
        <v>404</v>
      </c>
      <c r="D374" s="13" t="s">
        <v>410</v>
      </c>
      <c r="E374" s="13" t="s">
        <v>412</v>
      </c>
      <c r="F374" s="15">
        <v>27110</v>
      </c>
      <c r="G374" s="15">
        <v>7486.23</v>
      </c>
      <c r="H374" s="15">
        <f>Table2[[#This Row],[Profit]]/Table2[[#This Row],[Sales]]</f>
        <v>0.276142751752121</v>
      </c>
    </row>
    <row r="375" spans="1:8" ht="12" customHeight="1" x14ac:dyDescent="0.3">
      <c r="A375" s="13">
        <v>2374</v>
      </c>
      <c r="B375" s="14" t="s">
        <v>253</v>
      </c>
      <c r="C375" s="13" t="s">
        <v>402</v>
      </c>
      <c r="D375" s="13" t="s">
        <v>409</v>
      </c>
      <c r="E375" s="13" t="s">
        <v>412</v>
      </c>
      <c r="F375" s="15">
        <v>22289</v>
      </c>
      <c r="G375" s="15">
        <v>5520.73</v>
      </c>
      <c r="H375" s="15">
        <f>Table2[[#This Row],[Profit]]/Table2[[#This Row],[Sales]]</f>
        <v>0.24768854591951184</v>
      </c>
    </row>
    <row r="376" spans="1:8" ht="12" customHeight="1" x14ac:dyDescent="0.3">
      <c r="A376" s="13">
        <v>2375</v>
      </c>
      <c r="B376" s="14" t="s">
        <v>254</v>
      </c>
      <c r="C376" s="13" t="s">
        <v>402</v>
      </c>
      <c r="D376" s="13" t="s">
        <v>407</v>
      </c>
      <c r="E376" s="13" t="s">
        <v>413</v>
      </c>
      <c r="F376" s="15">
        <v>24298</v>
      </c>
      <c r="G376" s="15">
        <v>2879.71</v>
      </c>
      <c r="H376" s="15">
        <f>Table2[[#This Row],[Profit]]/Table2[[#This Row],[Sales]]</f>
        <v>0.11851633879331633</v>
      </c>
    </row>
    <row r="377" spans="1:8" ht="12" customHeight="1" x14ac:dyDescent="0.3">
      <c r="A377" s="13">
        <v>2376</v>
      </c>
      <c r="B377" s="14" t="s">
        <v>193</v>
      </c>
      <c r="C377" s="13" t="s">
        <v>404</v>
      </c>
      <c r="D377" s="13" t="s">
        <v>410</v>
      </c>
      <c r="E377" s="13" t="s">
        <v>413</v>
      </c>
      <c r="F377" s="15">
        <v>22007</v>
      </c>
      <c r="G377" s="15">
        <v>3334.15</v>
      </c>
      <c r="H377" s="15">
        <f>Table2[[#This Row],[Profit]]/Table2[[#This Row],[Sales]]</f>
        <v>0.15150406688780843</v>
      </c>
    </row>
    <row r="378" spans="1:8" ht="12" customHeight="1" x14ac:dyDescent="0.3">
      <c r="A378" s="13">
        <v>2377</v>
      </c>
      <c r="B378" s="14" t="s">
        <v>243</v>
      </c>
      <c r="C378" s="13" t="s">
        <v>404</v>
      </c>
      <c r="D378" s="13" t="s">
        <v>409</v>
      </c>
      <c r="E378" s="13" t="s">
        <v>411</v>
      </c>
      <c r="F378" s="15">
        <v>4252</v>
      </c>
      <c r="G378" s="15">
        <v>989.94</v>
      </c>
      <c r="H378" s="15">
        <f>Table2[[#This Row],[Profit]]/Table2[[#This Row],[Sales]]</f>
        <v>0.23281749764816559</v>
      </c>
    </row>
    <row r="379" spans="1:8" ht="12" customHeight="1" x14ac:dyDescent="0.3">
      <c r="A379" s="13">
        <v>2378</v>
      </c>
      <c r="B379" s="14" t="s">
        <v>255</v>
      </c>
      <c r="C379" s="13" t="s">
        <v>402</v>
      </c>
      <c r="D379" s="13" t="s">
        <v>406</v>
      </c>
      <c r="E379" s="13" t="s">
        <v>411</v>
      </c>
      <c r="F379" s="15">
        <v>6337</v>
      </c>
      <c r="G379" s="15">
        <v>1585.1</v>
      </c>
      <c r="H379" s="15">
        <f>Table2[[#This Row],[Profit]]/Table2[[#This Row],[Sales]]</f>
        <v>0.25013413287044339</v>
      </c>
    </row>
    <row r="380" spans="1:8" ht="12" customHeight="1" x14ac:dyDescent="0.3">
      <c r="A380" s="13">
        <v>2379</v>
      </c>
      <c r="B380" s="14" t="s">
        <v>246</v>
      </c>
      <c r="C380" s="13" t="s">
        <v>403</v>
      </c>
      <c r="D380" s="13" t="s">
        <v>406</v>
      </c>
      <c r="E380" s="13" t="s">
        <v>413</v>
      </c>
      <c r="F380" s="15">
        <v>16601</v>
      </c>
      <c r="G380" s="15">
        <v>2564.2800000000002</v>
      </c>
      <c r="H380" s="15">
        <f>Table2[[#This Row],[Profit]]/Table2[[#This Row],[Sales]]</f>
        <v>0.15446539365098488</v>
      </c>
    </row>
    <row r="381" spans="1:8" ht="12" customHeight="1" x14ac:dyDescent="0.3">
      <c r="A381" s="13">
        <v>2380</v>
      </c>
      <c r="B381" s="14" t="s">
        <v>232</v>
      </c>
      <c r="C381" s="13" t="s">
        <v>404</v>
      </c>
      <c r="D381" s="13" t="s">
        <v>406</v>
      </c>
      <c r="E381" s="13" t="s">
        <v>413</v>
      </c>
      <c r="F381" s="15">
        <v>21129</v>
      </c>
      <c r="G381" s="15">
        <v>3031.92</v>
      </c>
      <c r="H381" s="15">
        <f>Table2[[#This Row],[Profit]]/Table2[[#This Row],[Sales]]</f>
        <v>0.14349566945903736</v>
      </c>
    </row>
    <row r="382" spans="1:8" ht="12" customHeight="1" x14ac:dyDescent="0.3">
      <c r="A382" s="13">
        <v>2381</v>
      </c>
      <c r="B382" s="14" t="s">
        <v>120</v>
      </c>
      <c r="C382" s="13" t="s">
        <v>402</v>
      </c>
      <c r="D382" s="13" t="s">
        <v>410</v>
      </c>
      <c r="E382" s="13" t="s">
        <v>412</v>
      </c>
      <c r="F382" s="15">
        <v>1589</v>
      </c>
      <c r="G382" s="15">
        <v>204.41</v>
      </c>
      <c r="H382" s="15">
        <f>Table2[[#This Row],[Profit]]/Table2[[#This Row],[Sales]]</f>
        <v>0.12864065449968534</v>
      </c>
    </row>
    <row r="383" spans="1:8" ht="12" customHeight="1" x14ac:dyDescent="0.3">
      <c r="A383" s="13">
        <v>2382</v>
      </c>
      <c r="B383" s="14" t="s">
        <v>191</v>
      </c>
      <c r="C383" s="13" t="s">
        <v>403</v>
      </c>
      <c r="D383" s="13" t="s">
        <v>410</v>
      </c>
      <c r="E383" s="13" t="s">
        <v>413</v>
      </c>
      <c r="F383" s="15">
        <v>29317</v>
      </c>
      <c r="G383" s="15">
        <v>3750.99</v>
      </c>
      <c r="H383" s="15">
        <f>Table2[[#This Row],[Profit]]/Table2[[#This Row],[Sales]]</f>
        <v>0.12794590169526213</v>
      </c>
    </row>
    <row r="384" spans="1:8" ht="12" customHeight="1" x14ac:dyDescent="0.3">
      <c r="A384" s="13">
        <v>2383</v>
      </c>
      <c r="B384" s="14" t="s">
        <v>256</v>
      </c>
      <c r="C384" s="13" t="s">
        <v>404</v>
      </c>
      <c r="D384" s="13" t="s">
        <v>406</v>
      </c>
      <c r="E384" s="13" t="s">
        <v>412</v>
      </c>
      <c r="F384" s="15">
        <v>2684</v>
      </c>
      <c r="G384" s="15">
        <v>748.72</v>
      </c>
      <c r="H384" s="15">
        <f>Table2[[#This Row],[Profit]]/Table2[[#This Row],[Sales]]</f>
        <v>0.27895678092399406</v>
      </c>
    </row>
    <row r="385" spans="1:8" ht="12" customHeight="1" x14ac:dyDescent="0.3">
      <c r="A385" s="13">
        <v>2384</v>
      </c>
      <c r="B385" s="14" t="s">
        <v>57</v>
      </c>
      <c r="C385" s="13" t="s">
        <v>404</v>
      </c>
      <c r="D385" s="13" t="s">
        <v>410</v>
      </c>
      <c r="E385" s="13" t="s">
        <v>413</v>
      </c>
      <c r="F385" s="15">
        <v>3448</v>
      </c>
      <c r="G385" s="15">
        <v>736.68</v>
      </c>
      <c r="H385" s="15">
        <f>Table2[[#This Row],[Profit]]/Table2[[#This Row],[Sales]]</f>
        <v>0.21365429234338745</v>
      </c>
    </row>
    <row r="386" spans="1:8" ht="12" customHeight="1" x14ac:dyDescent="0.3">
      <c r="A386" s="13">
        <v>2385</v>
      </c>
      <c r="B386" s="14" t="s">
        <v>24</v>
      </c>
      <c r="C386" s="13" t="s">
        <v>401</v>
      </c>
      <c r="D386" s="13" t="s">
        <v>407</v>
      </c>
      <c r="E386" s="13" t="s">
        <v>411</v>
      </c>
      <c r="F386" s="15">
        <v>6046</v>
      </c>
      <c r="G386" s="15">
        <v>1458.47</v>
      </c>
      <c r="H386" s="15">
        <f>Table2[[#This Row],[Profit]]/Table2[[#This Row],[Sales]]</f>
        <v>0.24122891167714192</v>
      </c>
    </row>
    <row r="387" spans="1:8" ht="12" customHeight="1" x14ac:dyDescent="0.3">
      <c r="A387" s="13">
        <v>2386</v>
      </c>
      <c r="B387" s="14" t="s">
        <v>248</v>
      </c>
      <c r="C387" s="13" t="s">
        <v>401</v>
      </c>
      <c r="D387" s="13" t="s">
        <v>405</v>
      </c>
      <c r="E387" s="13" t="s">
        <v>412</v>
      </c>
      <c r="F387" s="15">
        <v>6659</v>
      </c>
      <c r="G387" s="15">
        <v>1211.23</v>
      </c>
      <c r="H387" s="15">
        <f>Table2[[#This Row],[Profit]]/Table2[[#This Row],[Sales]]</f>
        <v>0.1818936777293888</v>
      </c>
    </row>
    <row r="388" spans="1:8" ht="12" customHeight="1" x14ac:dyDescent="0.3">
      <c r="A388" s="13">
        <v>2387</v>
      </c>
      <c r="B388" s="14" t="s">
        <v>23</v>
      </c>
      <c r="C388" s="13" t="s">
        <v>402</v>
      </c>
      <c r="D388" s="13" t="s">
        <v>409</v>
      </c>
      <c r="E388" s="13" t="s">
        <v>411</v>
      </c>
      <c r="F388" s="15">
        <v>3821</v>
      </c>
      <c r="G388" s="15">
        <v>521.95000000000005</v>
      </c>
      <c r="H388" s="15">
        <f>Table2[[#This Row],[Profit]]/Table2[[#This Row],[Sales]]</f>
        <v>0.13660036639623135</v>
      </c>
    </row>
    <row r="389" spans="1:8" ht="12" customHeight="1" x14ac:dyDescent="0.3">
      <c r="A389" s="13">
        <v>2388</v>
      </c>
      <c r="B389" s="14" t="s">
        <v>257</v>
      </c>
      <c r="C389" s="13" t="s">
        <v>401</v>
      </c>
      <c r="D389" s="13" t="s">
        <v>410</v>
      </c>
      <c r="E389" s="13" t="s">
        <v>412</v>
      </c>
      <c r="F389" s="15">
        <v>16888</v>
      </c>
      <c r="G389" s="15">
        <v>1699.23</v>
      </c>
      <c r="H389" s="15">
        <f>Table2[[#This Row],[Profit]]/Table2[[#This Row],[Sales]]</f>
        <v>0.10061759829464709</v>
      </c>
    </row>
    <row r="390" spans="1:8" ht="12" customHeight="1" x14ac:dyDescent="0.3">
      <c r="A390" s="13">
        <v>2389</v>
      </c>
      <c r="B390" s="14" t="s">
        <v>258</v>
      </c>
      <c r="C390" s="13" t="s">
        <v>402</v>
      </c>
      <c r="D390" s="13" t="s">
        <v>408</v>
      </c>
      <c r="E390" s="13" t="s">
        <v>413</v>
      </c>
      <c r="F390" s="15">
        <v>1841</v>
      </c>
      <c r="G390" s="15">
        <v>277.76</v>
      </c>
      <c r="H390" s="15">
        <f>Table2[[#This Row],[Profit]]/Table2[[#This Row],[Sales]]</f>
        <v>0.1508745247148289</v>
      </c>
    </row>
    <row r="391" spans="1:8" ht="12" customHeight="1" x14ac:dyDescent="0.3">
      <c r="A391" s="13">
        <v>2390</v>
      </c>
      <c r="B391" s="14" t="s">
        <v>86</v>
      </c>
      <c r="C391" s="13" t="s">
        <v>404</v>
      </c>
      <c r="D391" s="13" t="s">
        <v>409</v>
      </c>
      <c r="E391" s="13" t="s">
        <v>411</v>
      </c>
      <c r="F391" s="15">
        <v>21636</v>
      </c>
      <c r="G391" s="15">
        <v>6427.34</v>
      </c>
      <c r="H391" s="15">
        <f>Table2[[#This Row],[Profit]]/Table2[[#This Row],[Sales]]</f>
        <v>0.29706692549454611</v>
      </c>
    </row>
    <row r="392" spans="1:8" ht="12" customHeight="1" x14ac:dyDescent="0.3">
      <c r="A392" s="13">
        <v>2391</v>
      </c>
      <c r="B392" s="14" t="s">
        <v>259</v>
      </c>
      <c r="C392" s="13" t="s">
        <v>404</v>
      </c>
      <c r="D392" s="13" t="s">
        <v>406</v>
      </c>
      <c r="E392" s="13" t="s">
        <v>413</v>
      </c>
      <c r="F392" s="15">
        <v>27951</v>
      </c>
      <c r="G392" s="15">
        <v>5664.4</v>
      </c>
      <c r="H392" s="15">
        <f>Table2[[#This Row],[Profit]]/Table2[[#This Row],[Sales]]</f>
        <v>0.20265464562985222</v>
      </c>
    </row>
    <row r="393" spans="1:8" ht="12" customHeight="1" x14ac:dyDescent="0.3">
      <c r="A393" s="13">
        <v>2392</v>
      </c>
      <c r="B393" s="14" t="s">
        <v>8</v>
      </c>
      <c r="C393" s="13" t="s">
        <v>401</v>
      </c>
      <c r="D393" s="13" t="s">
        <v>406</v>
      </c>
      <c r="E393" s="13" t="s">
        <v>411</v>
      </c>
      <c r="F393" s="15">
        <v>9489</v>
      </c>
      <c r="G393" s="15">
        <v>2672.45</v>
      </c>
      <c r="H393" s="15">
        <f>Table2[[#This Row],[Profit]]/Table2[[#This Row],[Sales]]</f>
        <v>0.28163663188955629</v>
      </c>
    </row>
    <row r="394" spans="1:8" ht="12" customHeight="1" x14ac:dyDescent="0.3">
      <c r="A394" s="13">
        <v>2393</v>
      </c>
      <c r="B394" s="14" t="s">
        <v>91</v>
      </c>
      <c r="C394" s="13" t="s">
        <v>404</v>
      </c>
      <c r="D394" s="13" t="s">
        <v>409</v>
      </c>
      <c r="E394" s="13" t="s">
        <v>412</v>
      </c>
      <c r="F394" s="15">
        <v>17489</v>
      </c>
      <c r="G394" s="15">
        <v>1663.98</v>
      </c>
      <c r="H394" s="15">
        <f>Table2[[#This Row],[Profit]]/Table2[[#This Row],[Sales]]</f>
        <v>9.5144376465206709E-2</v>
      </c>
    </row>
    <row r="395" spans="1:8" ht="12" customHeight="1" x14ac:dyDescent="0.3">
      <c r="A395" s="13">
        <v>2394</v>
      </c>
      <c r="B395" s="14" t="s">
        <v>134</v>
      </c>
      <c r="C395" s="13" t="s">
        <v>402</v>
      </c>
      <c r="D395" s="13" t="s">
        <v>409</v>
      </c>
      <c r="E395" s="13" t="s">
        <v>411</v>
      </c>
      <c r="F395" s="15">
        <v>19220</v>
      </c>
      <c r="G395" s="15">
        <v>1818.24</v>
      </c>
      <c r="H395" s="15">
        <f>Table2[[#This Row],[Profit]]/Table2[[#This Row],[Sales]]</f>
        <v>9.4601456815816859E-2</v>
      </c>
    </row>
    <row r="396" spans="1:8" ht="12" customHeight="1" x14ac:dyDescent="0.3">
      <c r="A396" s="13">
        <v>2395</v>
      </c>
      <c r="B396" s="14" t="s">
        <v>260</v>
      </c>
      <c r="C396" s="13" t="s">
        <v>401</v>
      </c>
      <c r="D396" s="13" t="s">
        <v>405</v>
      </c>
      <c r="E396" s="13" t="s">
        <v>411</v>
      </c>
      <c r="F396" s="15">
        <v>28526</v>
      </c>
      <c r="G396" s="15">
        <v>5248.55</v>
      </c>
      <c r="H396" s="15">
        <f>Table2[[#This Row],[Profit]]/Table2[[#This Row],[Sales]]</f>
        <v>0.18399179695716189</v>
      </c>
    </row>
    <row r="397" spans="1:8" ht="12" customHeight="1" x14ac:dyDescent="0.3">
      <c r="A397" s="13">
        <v>2396</v>
      </c>
      <c r="B397" s="14" t="s">
        <v>261</v>
      </c>
      <c r="C397" s="13" t="s">
        <v>403</v>
      </c>
      <c r="D397" s="13" t="s">
        <v>406</v>
      </c>
      <c r="E397" s="13" t="s">
        <v>412</v>
      </c>
      <c r="F397" s="15">
        <v>25734</v>
      </c>
      <c r="G397" s="15">
        <v>4165.5200000000004</v>
      </c>
      <c r="H397" s="15">
        <f>Table2[[#This Row],[Profit]]/Table2[[#This Row],[Sales]]</f>
        <v>0.16186834537965339</v>
      </c>
    </row>
    <row r="398" spans="1:8" ht="12" customHeight="1" x14ac:dyDescent="0.3">
      <c r="A398" s="13">
        <v>2397</v>
      </c>
      <c r="B398" s="14" t="s">
        <v>35</v>
      </c>
      <c r="C398" s="13" t="s">
        <v>403</v>
      </c>
      <c r="D398" s="13" t="s">
        <v>410</v>
      </c>
      <c r="E398" s="13" t="s">
        <v>413</v>
      </c>
      <c r="F398" s="15">
        <v>5608</v>
      </c>
      <c r="G398" s="15">
        <v>994.24</v>
      </c>
      <c r="H398" s="15">
        <f>Table2[[#This Row],[Profit]]/Table2[[#This Row],[Sales]]</f>
        <v>0.17728958630527816</v>
      </c>
    </row>
    <row r="399" spans="1:8" ht="12" customHeight="1" x14ac:dyDescent="0.3">
      <c r="A399" s="13">
        <v>2398</v>
      </c>
      <c r="B399" s="14" t="s">
        <v>115</v>
      </c>
      <c r="C399" s="13" t="s">
        <v>404</v>
      </c>
      <c r="D399" s="13" t="s">
        <v>407</v>
      </c>
      <c r="E399" s="13" t="s">
        <v>413</v>
      </c>
      <c r="F399" s="15">
        <v>4210</v>
      </c>
      <c r="G399" s="15">
        <v>594.15</v>
      </c>
      <c r="H399" s="15">
        <f>Table2[[#This Row],[Profit]]/Table2[[#This Row],[Sales]]</f>
        <v>0.14112826603325415</v>
      </c>
    </row>
    <row r="400" spans="1:8" ht="12" customHeight="1" x14ac:dyDescent="0.3">
      <c r="A400" s="13">
        <v>2399</v>
      </c>
      <c r="B400" s="14" t="s">
        <v>262</v>
      </c>
      <c r="C400" s="13" t="s">
        <v>402</v>
      </c>
      <c r="D400" s="13" t="s">
        <v>407</v>
      </c>
      <c r="E400" s="13" t="s">
        <v>412</v>
      </c>
      <c r="F400" s="15">
        <v>23577</v>
      </c>
      <c r="G400" s="15">
        <v>3283.53</v>
      </c>
      <c r="H400" s="15">
        <f>Table2[[#This Row],[Profit]]/Table2[[#This Row],[Sales]]</f>
        <v>0.13926835475251306</v>
      </c>
    </row>
    <row r="401" spans="1:8" ht="12" customHeight="1" x14ac:dyDescent="0.3">
      <c r="A401" s="13">
        <v>2400</v>
      </c>
      <c r="B401" s="14" t="s">
        <v>263</v>
      </c>
      <c r="C401" s="13" t="s">
        <v>401</v>
      </c>
      <c r="D401" s="13" t="s">
        <v>408</v>
      </c>
      <c r="E401" s="13" t="s">
        <v>413</v>
      </c>
      <c r="F401" s="15">
        <v>29938</v>
      </c>
      <c r="G401" s="15">
        <v>5587.48</v>
      </c>
      <c r="H401" s="15">
        <f>Table2[[#This Row],[Profit]]/Table2[[#This Row],[Sales]]</f>
        <v>0.18663504576123988</v>
      </c>
    </row>
    <row r="402" spans="1:8" ht="12" customHeight="1" x14ac:dyDescent="0.3">
      <c r="A402" s="13">
        <v>2401</v>
      </c>
      <c r="B402" s="14" t="s">
        <v>177</v>
      </c>
      <c r="C402" s="13" t="s">
        <v>404</v>
      </c>
      <c r="D402" s="13" t="s">
        <v>405</v>
      </c>
      <c r="E402" s="13" t="s">
        <v>413</v>
      </c>
      <c r="F402" s="15">
        <v>23840</v>
      </c>
      <c r="G402" s="15">
        <v>6453.96</v>
      </c>
      <c r="H402" s="15">
        <f>Table2[[#This Row],[Profit]]/Table2[[#This Row],[Sales]]</f>
        <v>0.27071979865771811</v>
      </c>
    </row>
    <row r="403" spans="1:8" ht="12" customHeight="1" x14ac:dyDescent="0.3">
      <c r="A403" s="13">
        <v>2402</v>
      </c>
      <c r="B403" s="14" t="s">
        <v>102</v>
      </c>
      <c r="C403" s="13" t="s">
        <v>404</v>
      </c>
      <c r="D403" s="13" t="s">
        <v>408</v>
      </c>
      <c r="E403" s="13" t="s">
        <v>413</v>
      </c>
      <c r="F403" s="15">
        <v>2979</v>
      </c>
      <c r="G403" s="15">
        <v>787.73</v>
      </c>
      <c r="H403" s="15">
        <f>Table2[[#This Row],[Profit]]/Table2[[#This Row],[Sales]]</f>
        <v>0.26442766028868747</v>
      </c>
    </row>
    <row r="404" spans="1:8" ht="12" customHeight="1" x14ac:dyDescent="0.3">
      <c r="A404" s="13">
        <v>2403</v>
      </c>
      <c r="B404" s="14" t="s">
        <v>148</v>
      </c>
      <c r="C404" s="13" t="s">
        <v>404</v>
      </c>
      <c r="D404" s="13" t="s">
        <v>406</v>
      </c>
      <c r="E404" s="13" t="s">
        <v>412</v>
      </c>
      <c r="F404" s="15">
        <v>19654</v>
      </c>
      <c r="G404" s="15">
        <v>5591.84</v>
      </c>
      <c r="H404" s="15">
        <f>Table2[[#This Row],[Profit]]/Table2[[#This Row],[Sales]]</f>
        <v>0.28451409382314036</v>
      </c>
    </row>
    <row r="405" spans="1:8" ht="12" customHeight="1" x14ac:dyDescent="0.3">
      <c r="A405" s="13">
        <v>2404</v>
      </c>
      <c r="B405" s="14" t="s">
        <v>264</v>
      </c>
      <c r="C405" s="13" t="s">
        <v>402</v>
      </c>
      <c r="D405" s="13" t="s">
        <v>410</v>
      </c>
      <c r="E405" s="13" t="s">
        <v>412</v>
      </c>
      <c r="F405" s="15">
        <v>22241</v>
      </c>
      <c r="G405" s="15">
        <v>5072.25</v>
      </c>
      <c r="H405" s="15">
        <f>Table2[[#This Row],[Profit]]/Table2[[#This Row],[Sales]]</f>
        <v>0.22805854053324939</v>
      </c>
    </row>
    <row r="406" spans="1:8" ht="12" customHeight="1" x14ac:dyDescent="0.3">
      <c r="A406" s="13">
        <v>2405</v>
      </c>
      <c r="B406" s="14" t="s">
        <v>144</v>
      </c>
      <c r="C406" s="13" t="s">
        <v>403</v>
      </c>
      <c r="D406" s="13" t="s">
        <v>407</v>
      </c>
      <c r="E406" s="13" t="s">
        <v>412</v>
      </c>
      <c r="F406" s="15">
        <v>24730</v>
      </c>
      <c r="G406" s="15">
        <v>6761.02</v>
      </c>
      <c r="H406" s="15">
        <f>Table2[[#This Row],[Profit]]/Table2[[#This Row],[Sales]]</f>
        <v>0.27339344925192077</v>
      </c>
    </row>
    <row r="407" spans="1:8" ht="12" customHeight="1" x14ac:dyDescent="0.3">
      <c r="A407" s="13">
        <v>2406</v>
      </c>
      <c r="B407" s="14" t="s">
        <v>136</v>
      </c>
      <c r="C407" s="13" t="s">
        <v>402</v>
      </c>
      <c r="D407" s="13" t="s">
        <v>405</v>
      </c>
      <c r="E407" s="13" t="s">
        <v>411</v>
      </c>
      <c r="F407" s="15">
        <v>10874</v>
      </c>
      <c r="G407" s="15">
        <v>2532.08</v>
      </c>
      <c r="H407" s="15">
        <f>Table2[[#This Row],[Profit]]/Table2[[#This Row],[Sales]]</f>
        <v>0.23285635460732021</v>
      </c>
    </row>
    <row r="408" spans="1:8" ht="12" customHeight="1" x14ac:dyDescent="0.3">
      <c r="A408" s="13">
        <v>2407</v>
      </c>
      <c r="B408" s="14" t="s">
        <v>265</v>
      </c>
      <c r="C408" s="13" t="s">
        <v>401</v>
      </c>
      <c r="D408" s="13" t="s">
        <v>409</v>
      </c>
      <c r="E408" s="13" t="s">
        <v>411</v>
      </c>
      <c r="F408" s="15">
        <v>11768</v>
      </c>
      <c r="G408" s="15">
        <v>1598.31</v>
      </c>
      <c r="H408" s="15">
        <f>Table2[[#This Row],[Profit]]/Table2[[#This Row],[Sales]]</f>
        <v>0.13581832087015636</v>
      </c>
    </row>
    <row r="409" spans="1:8" ht="12" customHeight="1" x14ac:dyDescent="0.3">
      <c r="A409" s="13">
        <v>2408</v>
      </c>
      <c r="B409" s="14" t="s">
        <v>266</v>
      </c>
      <c r="C409" s="13" t="s">
        <v>401</v>
      </c>
      <c r="D409" s="13" t="s">
        <v>408</v>
      </c>
      <c r="E409" s="13" t="s">
        <v>413</v>
      </c>
      <c r="F409" s="15">
        <v>20868</v>
      </c>
      <c r="G409" s="15">
        <v>3861.48</v>
      </c>
      <c r="H409" s="15">
        <f>Table2[[#This Row],[Profit]]/Table2[[#This Row],[Sales]]</f>
        <v>0.1850431282346176</v>
      </c>
    </row>
    <row r="410" spans="1:8" ht="12" customHeight="1" x14ac:dyDescent="0.3">
      <c r="A410" s="13">
        <v>2409</v>
      </c>
      <c r="B410" s="14" t="s">
        <v>190</v>
      </c>
      <c r="C410" s="13" t="s">
        <v>404</v>
      </c>
      <c r="D410" s="13" t="s">
        <v>410</v>
      </c>
      <c r="E410" s="13" t="s">
        <v>411</v>
      </c>
      <c r="F410" s="15">
        <v>10566</v>
      </c>
      <c r="G410" s="15">
        <v>3041.89</v>
      </c>
      <c r="H410" s="15">
        <f>Table2[[#This Row],[Profit]]/Table2[[#This Row],[Sales]]</f>
        <v>0.28789418890781754</v>
      </c>
    </row>
    <row r="411" spans="1:8" ht="12" customHeight="1" x14ac:dyDescent="0.3">
      <c r="A411" s="13">
        <v>2410</v>
      </c>
      <c r="B411" s="14" t="s">
        <v>123</v>
      </c>
      <c r="C411" s="13" t="s">
        <v>401</v>
      </c>
      <c r="D411" s="13" t="s">
        <v>409</v>
      </c>
      <c r="E411" s="13" t="s">
        <v>411</v>
      </c>
      <c r="F411" s="15">
        <v>3331</v>
      </c>
      <c r="G411" s="15">
        <v>580.74</v>
      </c>
      <c r="H411" s="15">
        <f>Table2[[#This Row],[Profit]]/Table2[[#This Row],[Sales]]</f>
        <v>0.17434404082858002</v>
      </c>
    </row>
    <row r="412" spans="1:8" ht="12" customHeight="1" x14ac:dyDescent="0.3">
      <c r="A412" s="13">
        <v>2411</v>
      </c>
      <c r="B412" s="14" t="s">
        <v>94</v>
      </c>
      <c r="C412" s="13" t="s">
        <v>404</v>
      </c>
      <c r="D412" s="13" t="s">
        <v>406</v>
      </c>
      <c r="E412" s="13" t="s">
        <v>411</v>
      </c>
      <c r="F412" s="15">
        <v>27620</v>
      </c>
      <c r="G412" s="15">
        <v>3453.25</v>
      </c>
      <c r="H412" s="15">
        <f>Table2[[#This Row],[Profit]]/Table2[[#This Row],[Sales]]</f>
        <v>0.12502715423606084</v>
      </c>
    </row>
    <row r="413" spans="1:8" ht="12" customHeight="1" x14ac:dyDescent="0.3">
      <c r="A413" s="13">
        <v>2412</v>
      </c>
      <c r="B413" s="14" t="s">
        <v>267</v>
      </c>
      <c r="C413" s="13" t="s">
        <v>402</v>
      </c>
      <c r="D413" s="13" t="s">
        <v>407</v>
      </c>
      <c r="E413" s="13" t="s">
        <v>412</v>
      </c>
      <c r="F413" s="15">
        <v>3615</v>
      </c>
      <c r="G413" s="15">
        <v>372.98</v>
      </c>
      <c r="H413" s="15">
        <f>Table2[[#This Row],[Profit]]/Table2[[#This Row],[Sales]]</f>
        <v>0.10317565698478562</v>
      </c>
    </row>
    <row r="414" spans="1:8" ht="12" customHeight="1" x14ac:dyDescent="0.3">
      <c r="A414" s="13">
        <v>2413</v>
      </c>
      <c r="B414" s="14" t="s">
        <v>56</v>
      </c>
      <c r="C414" s="13" t="s">
        <v>402</v>
      </c>
      <c r="D414" s="13" t="s">
        <v>407</v>
      </c>
      <c r="E414" s="13" t="s">
        <v>411</v>
      </c>
      <c r="F414" s="15">
        <v>17350</v>
      </c>
      <c r="G414" s="15">
        <v>1740</v>
      </c>
      <c r="H414" s="15">
        <f>Table2[[#This Row],[Profit]]/Table2[[#This Row],[Sales]]</f>
        <v>0.10028818443804034</v>
      </c>
    </row>
    <row r="415" spans="1:8" ht="12" customHeight="1" x14ac:dyDescent="0.3">
      <c r="A415" s="13">
        <v>2414</v>
      </c>
      <c r="B415" s="14" t="s">
        <v>12</v>
      </c>
      <c r="C415" s="13" t="s">
        <v>401</v>
      </c>
      <c r="D415" s="13" t="s">
        <v>406</v>
      </c>
      <c r="E415" s="13" t="s">
        <v>413</v>
      </c>
      <c r="F415" s="15">
        <v>13496</v>
      </c>
      <c r="G415" s="15">
        <v>3937.23</v>
      </c>
      <c r="H415" s="15">
        <f>Table2[[#This Row],[Profit]]/Table2[[#This Row],[Sales]]</f>
        <v>0.29173310610551273</v>
      </c>
    </row>
    <row r="416" spans="1:8" ht="12" customHeight="1" x14ac:dyDescent="0.3">
      <c r="A416" s="13">
        <v>2415</v>
      </c>
      <c r="B416" s="14" t="s">
        <v>268</v>
      </c>
      <c r="C416" s="13" t="s">
        <v>402</v>
      </c>
      <c r="D416" s="13" t="s">
        <v>408</v>
      </c>
      <c r="E416" s="13" t="s">
        <v>413</v>
      </c>
      <c r="F416" s="15">
        <v>20070</v>
      </c>
      <c r="G416" s="15">
        <v>5898.74</v>
      </c>
      <c r="H416" s="15">
        <f>Table2[[#This Row],[Profit]]/Table2[[#This Row],[Sales]]</f>
        <v>0.29390832087693075</v>
      </c>
    </row>
    <row r="417" spans="1:8" ht="12" customHeight="1" x14ac:dyDescent="0.3">
      <c r="A417" s="13">
        <v>2416</v>
      </c>
      <c r="B417" s="14" t="s">
        <v>50</v>
      </c>
      <c r="C417" s="13" t="s">
        <v>401</v>
      </c>
      <c r="D417" s="13" t="s">
        <v>408</v>
      </c>
      <c r="E417" s="13" t="s">
        <v>411</v>
      </c>
      <c r="F417" s="15">
        <v>15734</v>
      </c>
      <c r="G417" s="15">
        <v>2334.2800000000002</v>
      </c>
      <c r="H417" s="15">
        <f>Table2[[#This Row],[Profit]]/Table2[[#This Row],[Sales]]</f>
        <v>0.14835896784034577</v>
      </c>
    </row>
    <row r="418" spans="1:8" ht="12" customHeight="1" x14ac:dyDescent="0.3">
      <c r="A418" s="13">
        <v>2417</v>
      </c>
      <c r="B418" s="14" t="s">
        <v>269</v>
      </c>
      <c r="C418" s="13" t="s">
        <v>403</v>
      </c>
      <c r="D418" s="13" t="s">
        <v>408</v>
      </c>
      <c r="E418" s="13" t="s">
        <v>412</v>
      </c>
      <c r="F418" s="15">
        <v>23629</v>
      </c>
      <c r="G418" s="15">
        <v>5987.83</v>
      </c>
      <c r="H418" s="15">
        <f>Table2[[#This Row],[Profit]]/Table2[[#This Row],[Sales]]</f>
        <v>0.25341021625968091</v>
      </c>
    </row>
    <row r="419" spans="1:8" ht="12" customHeight="1" x14ac:dyDescent="0.3">
      <c r="A419" s="13">
        <v>2418</v>
      </c>
      <c r="B419" s="14" t="s">
        <v>232</v>
      </c>
      <c r="C419" s="13" t="s">
        <v>403</v>
      </c>
      <c r="D419" s="13" t="s">
        <v>407</v>
      </c>
      <c r="E419" s="13" t="s">
        <v>413</v>
      </c>
      <c r="F419" s="15">
        <v>1826</v>
      </c>
      <c r="G419" s="15">
        <v>244.96</v>
      </c>
      <c r="H419" s="15">
        <f>Table2[[#This Row],[Profit]]/Table2[[#This Row],[Sales]]</f>
        <v>0.13415115005476452</v>
      </c>
    </row>
    <row r="420" spans="1:8" ht="12" customHeight="1" x14ac:dyDescent="0.3">
      <c r="A420" s="13">
        <v>2419</v>
      </c>
      <c r="B420" s="14" t="s">
        <v>270</v>
      </c>
      <c r="C420" s="13" t="s">
        <v>402</v>
      </c>
      <c r="D420" s="13" t="s">
        <v>407</v>
      </c>
      <c r="E420" s="13" t="s">
        <v>411</v>
      </c>
      <c r="F420" s="15">
        <v>1286</v>
      </c>
      <c r="G420" s="15">
        <v>327.51</v>
      </c>
      <c r="H420" s="15">
        <f>Table2[[#This Row],[Profit]]/Table2[[#This Row],[Sales]]</f>
        <v>0.25467340590979781</v>
      </c>
    </row>
    <row r="421" spans="1:8" ht="12" customHeight="1" x14ac:dyDescent="0.3">
      <c r="A421" s="13">
        <v>2420</v>
      </c>
      <c r="B421" s="14" t="s">
        <v>106</v>
      </c>
      <c r="C421" s="13" t="s">
        <v>401</v>
      </c>
      <c r="D421" s="13" t="s">
        <v>409</v>
      </c>
      <c r="E421" s="13" t="s">
        <v>413</v>
      </c>
      <c r="F421" s="15">
        <v>15024</v>
      </c>
      <c r="G421" s="15">
        <v>3941.32</v>
      </c>
      <c r="H421" s="15">
        <f>Table2[[#This Row],[Profit]]/Table2[[#This Row],[Sales]]</f>
        <v>0.26233493077742281</v>
      </c>
    </row>
    <row r="422" spans="1:8" ht="12" customHeight="1" x14ac:dyDescent="0.3">
      <c r="A422" s="13">
        <v>2421</v>
      </c>
      <c r="B422" s="14" t="s">
        <v>260</v>
      </c>
      <c r="C422" s="13" t="s">
        <v>402</v>
      </c>
      <c r="D422" s="13" t="s">
        <v>408</v>
      </c>
      <c r="E422" s="13" t="s">
        <v>412</v>
      </c>
      <c r="F422" s="15">
        <v>8439</v>
      </c>
      <c r="G422" s="15">
        <v>1117.3599999999999</v>
      </c>
      <c r="H422" s="15">
        <f>Table2[[#This Row],[Profit]]/Table2[[#This Row],[Sales]]</f>
        <v>0.13240431330726388</v>
      </c>
    </row>
    <row r="423" spans="1:8" ht="12" customHeight="1" x14ac:dyDescent="0.3">
      <c r="A423" s="13">
        <v>2422</v>
      </c>
      <c r="B423" s="14" t="s">
        <v>271</v>
      </c>
      <c r="C423" s="13" t="s">
        <v>401</v>
      </c>
      <c r="D423" s="13" t="s">
        <v>407</v>
      </c>
      <c r="E423" s="13" t="s">
        <v>412</v>
      </c>
      <c r="F423" s="15">
        <v>23619</v>
      </c>
      <c r="G423" s="15">
        <v>3044.39</v>
      </c>
      <c r="H423" s="15">
        <f>Table2[[#This Row],[Profit]]/Table2[[#This Row],[Sales]]</f>
        <v>0.12889580422541175</v>
      </c>
    </row>
    <row r="424" spans="1:8" ht="12" customHeight="1" x14ac:dyDescent="0.3">
      <c r="A424" s="13">
        <v>2423</v>
      </c>
      <c r="B424" s="14" t="s">
        <v>272</v>
      </c>
      <c r="C424" s="13" t="s">
        <v>401</v>
      </c>
      <c r="D424" s="13" t="s">
        <v>408</v>
      </c>
      <c r="E424" s="13" t="s">
        <v>412</v>
      </c>
      <c r="F424" s="15">
        <v>15336</v>
      </c>
      <c r="G424" s="15">
        <v>3711.08</v>
      </c>
      <c r="H424" s="15">
        <f>Table2[[#This Row],[Profit]]/Table2[[#This Row],[Sales]]</f>
        <v>0.24198487219613979</v>
      </c>
    </row>
    <row r="425" spans="1:8" ht="12" customHeight="1" x14ac:dyDescent="0.3">
      <c r="A425" s="13">
        <v>2424</v>
      </c>
      <c r="B425" s="14" t="s">
        <v>248</v>
      </c>
      <c r="C425" s="13" t="s">
        <v>402</v>
      </c>
      <c r="D425" s="13" t="s">
        <v>409</v>
      </c>
      <c r="E425" s="13" t="s">
        <v>413</v>
      </c>
      <c r="F425" s="15">
        <v>12236</v>
      </c>
      <c r="G425" s="15">
        <v>2979.09</v>
      </c>
      <c r="H425" s="15">
        <f>Table2[[#This Row],[Profit]]/Table2[[#This Row],[Sales]]</f>
        <v>0.24346927100359597</v>
      </c>
    </row>
    <row r="426" spans="1:8" ht="12" customHeight="1" x14ac:dyDescent="0.3">
      <c r="A426" s="13">
        <v>2425</v>
      </c>
      <c r="B426" s="14" t="s">
        <v>44</v>
      </c>
      <c r="C426" s="13" t="s">
        <v>404</v>
      </c>
      <c r="D426" s="13" t="s">
        <v>409</v>
      </c>
      <c r="E426" s="13" t="s">
        <v>413</v>
      </c>
      <c r="F426" s="15">
        <v>27178</v>
      </c>
      <c r="G426" s="15">
        <v>6379.87</v>
      </c>
      <c r="H426" s="15">
        <f>Table2[[#This Row],[Profit]]/Table2[[#This Row],[Sales]]</f>
        <v>0.23474391051585841</v>
      </c>
    </row>
    <row r="427" spans="1:8" ht="12" customHeight="1" x14ac:dyDescent="0.3">
      <c r="A427" s="13">
        <v>2426</v>
      </c>
      <c r="B427" s="14" t="s">
        <v>273</v>
      </c>
      <c r="C427" s="13" t="s">
        <v>404</v>
      </c>
      <c r="D427" s="13" t="s">
        <v>405</v>
      </c>
      <c r="E427" s="13" t="s">
        <v>413</v>
      </c>
      <c r="F427" s="15">
        <v>5152</v>
      </c>
      <c r="G427" s="15">
        <v>1250.99</v>
      </c>
      <c r="H427" s="15">
        <f>Table2[[#This Row],[Profit]]/Table2[[#This Row],[Sales]]</f>
        <v>0.24281638198757763</v>
      </c>
    </row>
    <row r="428" spans="1:8" ht="12" customHeight="1" x14ac:dyDescent="0.3">
      <c r="A428" s="13">
        <v>2427</v>
      </c>
      <c r="B428" s="14" t="s">
        <v>274</v>
      </c>
      <c r="C428" s="13" t="s">
        <v>404</v>
      </c>
      <c r="D428" s="13" t="s">
        <v>408</v>
      </c>
      <c r="E428" s="13" t="s">
        <v>411</v>
      </c>
      <c r="F428" s="15">
        <v>29171</v>
      </c>
      <c r="G428" s="15">
        <v>7613.99</v>
      </c>
      <c r="H428" s="15">
        <f>Table2[[#This Row],[Profit]]/Table2[[#This Row],[Sales]]</f>
        <v>0.26101230674299819</v>
      </c>
    </row>
    <row r="429" spans="1:8" ht="12" customHeight="1" x14ac:dyDescent="0.3">
      <c r="A429" s="13">
        <v>2428</v>
      </c>
      <c r="B429" s="14" t="s">
        <v>162</v>
      </c>
      <c r="C429" s="13" t="s">
        <v>401</v>
      </c>
      <c r="D429" s="13" t="s">
        <v>406</v>
      </c>
      <c r="E429" s="13" t="s">
        <v>412</v>
      </c>
      <c r="F429" s="15">
        <v>9371</v>
      </c>
      <c r="G429" s="15">
        <v>1381.06</v>
      </c>
      <c r="H429" s="15">
        <f>Table2[[#This Row],[Profit]]/Table2[[#This Row],[Sales]]</f>
        <v>0.14737594707075019</v>
      </c>
    </row>
    <row r="430" spans="1:8" ht="12" customHeight="1" x14ac:dyDescent="0.3">
      <c r="A430" s="13">
        <v>2429</v>
      </c>
      <c r="B430" s="14" t="s">
        <v>275</v>
      </c>
      <c r="C430" s="13" t="s">
        <v>401</v>
      </c>
      <c r="D430" s="13" t="s">
        <v>409</v>
      </c>
      <c r="E430" s="13" t="s">
        <v>413</v>
      </c>
      <c r="F430" s="15">
        <v>7059</v>
      </c>
      <c r="G430" s="15">
        <v>1135.06</v>
      </c>
      <c r="H430" s="15">
        <f>Table2[[#This Row],[Profit]]/Table2[[#This Row],[Sales]]</f>
        <v>0.16079614676299758</v>
      </c>
    </row>
    <row r="431" spans="1:8" ht="12" customHeight="1" x14ac:dyDescent="0.3">
      <c r="A431" s="13">
        <v>2430</v>
      </c>
      <c r="B431" s="14" t="s">
        <v>267</v>
      </c>
      <c r="C431" s="13" t="s">
        <v>403</v>
      </c>
      <c r="D431" s="13" t="s">
        <v>407</v>
      </c>
      <c r="E431" s="13" t="s">
        <v>411</v>
      </c>
      <c r="F431" s="15">
        <v>16950</v>
      </c>
      <c r="G431" s="15">
        <v>2188.2399999999998</v>
      </c>
      <c r="H431" s="15">
        <f>Table2[[#This Row],[Profit]]/Table2[[#This Row],[Sales]]</f>
        <v>0.12909970501474924</v>
      </c>
    </row>
    <row r="432" spans="1:8" ht="12" customHeight="1" x14ac:dyDescent="0.3">
      <c r="A432" s="13">
        <v>2431</v>
      </c>
      <c r="B432" s="14" t="s">
        <v>276</v>
      </c>
      <c r="C432" s="13" t="s">
        <v>403</v>
      </c>
      <c r="D432" s="13" t="s">
        <v>409</v>
      </c>
      <c r="E432" s="13" t="s">
        <v>413</v>
      </c>
      <c r="F432" s="15">
        <v>21671</v>
      </c>
      <c r="G432" s="15">
        <v>4291.72</v>
      </c>
      <c r="H432" s="15">
        <f>Table2[[#This Row],[Profit]]/Table2[[#This Row],[Sales]]</f>
        <v>0.19803977666005262</v>
      </c>
    </row>
    <row r="433" spans="1:8" ht="12" customHeight="1" x14ac:dyDescent="0.3">
      <c r="A433" s="13">
        <v>2432</v>
      </c>
      <c r="B433" s="14" t="s">
        <v>277</v>
      </c>
      <c r="C433" s="13" t="s">
        <v>401</v>
      </c>
      <c r="D433" s="13" t="s">
        <v>409</v>
      </c>
      <c r="E433" s="13" t="s">
        <v>412</v>
      </c>
      <c r="F433" s="15">
        <v>13799</v>
      </c>
      <c r="G433" s="15">
        <v>1424.44</v>
      </c>
      <c r="H433" s="15">
        <f>Table2[[#This Row],[Profit]]/Table2[[#This Row],[Sales]]</f>
        <v>0.10322777012827017</v>
      </c>
    </row>
    <row r="434" spans="1:8" ht="12" customHeight="1" x14ac:dyDescent="0.3">
      <c r="A434" s="13">
        <v>2433</v>
      </c>
      <c r="B434" s="14" t="s">
        <v>159</v>
      </c>
      <c r="C434" s="13" t="s">
        <v>403</v>
      </c>
      <c r="D434" s="13" t="s">
        <v>406</v>
      </c>
      <c r="E434" s="13" t="s">
        <v>411</v>
      </c>
      <c r="F434" s="15">
        <v>14712</v>
      </c>
      <c r="G434" s="15">
        <v>1373.78</v>
      </c>
      <c r="H434" s="15">
        <f>Table2[[#This Row],[Profit]]/Table2[[#This Row],[Sales]]</f>
        <v>9.3378194671016851E-2</v>
      </c>
    </row>
    <row r="435" spans="1:8" ht="12" customHeight="1" x14ac:dyDescent="0.3">
      <c r="A435" s="13">
        <v>2434</v>
      </c>
      <c r="B435" s="14" t="s">
        <v>219</v>
      </c>
      <c r="C435" s="13" t="s">
        <v>401</v>
      </c>
      <c r="D435" s="13" t="s">
        <v>409</v>
      </c>
      <c r="E435" s="13" t="s">
        <v>413</v>
      </c>
      <c r="F435" s="15">
        <v>14046</v>
      </c>
      <c r="G435" s="15">
        <v>3377.97</v>
      </c>
      <c r="H435" s="15">
        <f>Table2[[#This Row],[Profit]]/Table2[[#This Row],[Sales]]</f>
        <v>0.24049337889790687</v>
      </c>
    </row>
    <row r="436" spans="1:8" ht="12" customHeight="1" x14ac:dyDescent="0.3">
      <c r="A436" s="13">
        <v>2435</v>
      </c>
      <c r="B436" s="14" t="s">
        <v>245</v>
      </c>
      <c r="C436" s="13" t="s">
        <v>402</v>
      </c>
      <c r="D436" s="13" t="s">
        <v>405</v>
      </c>
      <c r="E436" s="13" t="s">
        <v>413</v>
      </c>
      <c r="F436" s="15">
        <v>9958</v>
      </c>
      <c r="G436" s="15">
        <v>922.33</v>
      </c>
      <c r="H436" s="15">
        <f>Table2[[#This Row],[Profit]]/Table2[[#This Row],[Sales]]</f>
        <v>9.262201245229966E-2</v>
      </c>
    </row>
    <row r="437" spans="1:8" ht="12" customHeight="1" x14ac:dyDescent="0.3">
      <c r="A437" s="13">
        <v>2436</v>
      </c>
      <c r="B437" s="14" t="s">
        <v>187</v>
      </c>
      <c r="C437" s="13" t="s">
        <v>402</v>
      </c>
      <c r="D437" s="13" t="s">
        <v>407</v>
      </c>
      <c r="E437" s="13" t="s">
        <v>413</v>
      </c>
      <c r="F437" s="15">
        <v>28047</v>
      </c>
      <c r="G437" s="15">
        <v>7535.62</v>
      </c>
      <c r="H437" s="15">
        <f>Table2[[#This Row],[Profit]]/Table2[[#This Row],[Sales]]</f>
        <v>0.26867829001319216</v>
      </c>
    </row>
    <row r="438" spans="1:8" ht="12" customHeight="1" x14ac:dyDescent="0.3">
      <c r="A438" s="13">
        <v>2437</v>
      </c>
      <c r="B438" s="14" t="s">
        <v>278</v>
      </c>
      <c r="C438" s="13" t="s">
        <v>404</v>
      </c>
      <c r="D438" s="13" t="s">
        <v>405</v>
      </c>
      <c r="E438" s="13" t="s">
        <v>413</v>
      </c>
      <c r="F438" s="15">
        <v>15865</v>
      </c>
      <c r="G438" s="15">
        <v>3324.78</v>
      </c>
      <c r="H438" s="15">
        <f>Table2[[#This Row],[Profit]]/Table2[[#This Row],[Sales]]</f>
        <v>0.20956697132051688</v>
      </c>
    </row>
    <row r="439" spans="1:8" ht="12" customHeight="1" x14ac:dyDescent="0.3">
      <c r="A439" s="13">
        <v>2438</v>
      </c>
      <c r="B439" s="14" t="s">
        <v>134</v>
      </c>
      <c r="C439" s="13" t="s">
        <v>403</v>
      </c>
      <c r="D439" s="13" t="s">
        <v>408</v>
      </c>
      <c r="E439" s="13" t="s">
        <v>412</v>
      </c>
      <c r="F439" s="15">
        <v>1267</v>
      </c>
      <c r="G439" s="15">
        <v>205.72</v>
      </c>
      <c r="H439" s="15">
        <f>Table2[[#This Row],[Profit]]/Table2[[#This Row],[Sales]]</f>
        <v>0.16236779794790845</v>
      </c>
    </row>
    <row r="440" spans="1:8" ht="12" customHeight="1" x14ac:dyDescent="0.3">
      <c r="A440" s="13">
        <v>2439</v>
      </c>
      <c r="B440" s="14" t="s">
        <v>220</v>
      </c>
      <c r="C440" s="13" t="s">
        <v>401</v>
      </c>
      <c r="D440" s="13" t="s">
        <v>405</v>
      </c>
      <c r="E440" s="13" t="s">
        <v>411</v>
      </c>
      <c r="F440" s="15">
        <v>9677</v>
      </c>
      <c r="G440" s="15">
        <v>2189.7199999999998</v>
      </c>
      <c r="H440" s="15">
        <f>Table2[[#This Row],[Profit]]/Table2[[#This Row],[Sales]]</f>
        <v>0.22628087217112738</v>
      </c>
    </row>
    <row r="441" spans="1:8" ht="12" customHeight="1" x14ac:dyDescent="0.3">
      <c r="A441" s="13">
        <v>2440</v>
      </c>
      <c r="B441" s="14" t="s">
        <v>279</v>
      </c>
      <c r="C441" s="13" t="s">
        <v>402</v>
      </c>
      <c r="D441" s="13" t="s">
        <v>406</v>
      </c>
      <c r="E441" s="13" t="s">
        <v>413</v>
      </c>
      <c r="F441" s="15">
        <v>26498</v>
      </c>
      <c r="G441" s="15">
        <v>4429.21</v>
      </c>
      <c r="H441" s="15">
        <f>Table2[[#This Row],[Profit]]/Table2[[#This Row],[Sales]]</f>
        <v>0.16715261529172012</v>
      </c>
    </row>
    <row r="442" spans="1:8" ht="12" customHeight="1" x14ac:dyDescent="0.3">
      <c r="A442" s="13">
        <v>2441</v>
      </c>
      <c r="B442" s="14" t="s">
        <v>280</v>
      </c>
      <c r="C442" s="13" t="s">
        <v>401</v>
      </c>
      <c r="D442" s="13" t="s">
        <v>407</v>
      </c>
      <c r="E442" s="13" t="s">
        <v>413</v>
      </c>
      <c r="F442" s="15">
        <v>25594</v>
      </c>
      <c r="G442" s="15">
        <v>6807.54</v>
      </c>
      <c r="H442" s="15">
        <f>Table2[[#This Row],[Profit]]/Table2[[#This Row],[Sales]]</f>
        <v>0.26598187075095725</v>
      </c>
    </row>
    <row r="443" spans="1:8" ht="12" customHeight="1" x14ac:dyDescent="0.3">
      <c r="A443" s="13">
        <v>2442</v>
      </c>
      <c r="B443" s="14" t="s">
        <v>281</v>
      </c>
      <c r="C443" s="13" t="s">
        <v>404</v>
      </c>
      <c r="D443" s="13" t="s">
        <v>409</v>
      </c>
      <c r="E443" s="13" t="s">
        <v>411</v>
      </c>
      <c r="F443" s="15">
        <v>7381</v>
      </c>
      <c r="G443" s="15">
        <v>1508.57</v>
      </c>
      <c r="H443" s="15">
        <f>Table2[[#This Row],[Profit]]/Table2[[#This Row],[Sales]]</f>
        <v>0.20438558460913153</v>
      </c>
    </row>
    <row r="444" spans="1:8" ht="12" customHeight="1" x14ac:dyDescent="0.3">
      <c r="A444" s="13">
        <v>2443</v>
      </c>
      <c r="B444" s="14" t="s">
        <v>83</v>
      </c>
      <c r="C444" s="13" t="s">
        <v>402</v>
      </c>
      <c r="D444" s="13" t="s">
        <v>408</v>
      </c>
      <c r="E444" s="13" t="s">
        <v>412</v>
      </c>
      <c r="F444" s="15">
        <v>2965</v>
      </c>
      <c r="G444" s="15">
        <v>772.09</v>
      </c>
      <c r="H444" s="15">
        <f>Table2[[#This Row],[Profit]]/Table2[[#This Row],[Sales]]</f>
        <v>0.26040134907251267</v>
      </c>
    </row>
    <row r="445" spans="1:8" ht="12" customHeight="1" x14ac:dyDescent="0.3">
      <c r="A445" s="13">
        <v>2444</v>
      </c>
      <c r="B445" s="14" t="s">
        <v>282</v>
      </c>
      <c r="C445" s="13" t="s">
        <v>402</v>
      </c>
      <c r="D445" s="13" t="s">
        <v>407</v>
      </c>
      <c r="E445" s="13" t="s">
        <v>411</v>
      </c>
      <c r="F445" s="15">
        <v>13009</v>
      </c>
      <c r="G445" s="15">
        <v>3532.38</v>
      </c>
      <c r="H445" s="15">
        <f>Table2[[#This Row],[Profit]]/Table2[[#This Row],[Sales]]</f>
        <v>0.27153355369359677</v>
      </c>
    </row>
    <row r="446" spans="1:8" ht="12" customHeight="1" x14ac:dyDescent="0.3">
      <c r="A446" s="13">
        <v>2445</v>
      </c>
      <c r="B446" s="14" t="s">
        <v>143</v>
      </c>
      <c r="C446" s="13" t="s">
        <v>403</v>
      </c>
      <c r="D446" s="13" t="s">
        <v>405</v>
      </c>
      <c r="E446" s="13" t="s">
        <v>413</v>
      </c>
      <c r="F446" s="15">
        <v>18738</v>
      </c>
      <c r="G446" s="15">
        <v>4012.14</v>
      </c>
      <c r="H446" s="15">
        <f>Table2[[#This Row],[Profit]]/Table2[[#This Row],[Sales]]</f>
        <v>0.21411783541466539</v>
      </c>
    </row>
    <row r="447" spans="1:8" ht="12" customHeight="1" x14ac:dyDescent="0.3">
      <c r="A447" s="13">
        <v>2446</v>
      </c>
      <c r="B447" s="14" t="s">
        <v>111</v>
      </c>
      <c r="C447" s="13" t="s">
        <v>402</v>
      </c>
      <c r="D447" s="13" t="s">
        <v>410</v>
      </c>
      <c r="E447" s="13" t="s">
        <v>412</v>
      </c>
      <c r="F447" s="15">
        <v>1718</v>
      </c>
      <c r="G447" s="15">
        <v>209.62</v>
      </c>
      <c r="H447" s="15">
        <f>Table2[[#This Row],[Profit]]/Table2[[#This Row],[Sales]]</f>
        <v>0.1220139697322468</v>
      </c>
    </row>
    <row r="448" spans="1:8" ht="12" customHeight="1" x14ac:dyDescent="0.3">
      <c r="A448" s="13">
        <v>2447</v>
      </c>
      <c r="B448" s="14" t="s">
        <v>283</v>
      </c>
      <c r="C448" s="13" t="s">
        <v>404</v>
      </c>
      <c r="D448" s="13" t="s">
        <v>406</v>
      </c>
      <c r="E448" s="13" t="s">
        <v>413</v>
      </c>
      <c r="F448" s="15">
        <v>10576</v>
      </c>
      <c r="G448" s="15">
        <v>2632.71</v>
      </c>
      <c r="H448" s="15">
        <f>Table2[[#This Row],[Profit]]/Table2[[#This Row],[Sales]]</f>
        <v>0.24893248865355522</v>
      </c>
    </row>
    <row r="449" spans="1:8" ht="12" customHeight="1" x14ac:dyDescent="0.3">
      <c r="A449" s="13">
        <v>2448</v>
      </c>
      <c r="B449" s="14" t="s">
        <v>284</v>
      </c>
      <c r="C449" s="13" t="s">
        <v>402</v>
      </c>
      <c r="D449" s="13" t="s">
        <v>408</v>
      </c>
      <c r="E449" s="13" t="s">
        <v>413</v>
      </c>
      <c r="F449" s="15">
        <v>5941</v>
      </c>
      <c r="G449" s="15">
        <v>1649.52</v>
      </c>
      <c r="H449" s="15">
        <f>Table2[[#This Row],[Profit]]/Table2[[#This Row],[Sales]]</f>
        <v>0.2776502272344723</v>
      </c>
    </row>
    <row r="450" spans="1:8" ht="12" customHeight="1" x14ac:dyDescent="0.3">
      <c r="A450" s="13">
        <v>2449</v>
      </c>
      <c r="B450" s="14" t="s">
        <v>158</v>
      </c>
      <c r="C450" s="13" t="s">
        <v>403</v>
      </c>
      <c r="D450" s="13" t="s">
        <v>406</v>
      </c>
      <c r="E450" s="13" t="s">
        <v>412</v>
      </c>
      <c r="F450" s="15">
        <v>1739</v>
      </c>
      <c r="G450" s="15">
        <v>191.59</v>
      </c>
      <c r="H450" s="15">
        <f>Table2[[#This Row],[Profit]]/Table2[[#This Row],[Sales]]</f>
        <v>0.11017251293847038</v>
      </c>
    </row>
    <row r="451" spans="1:8" ht="12" customHeight="1" x14ac:dyDescent="0.3">
      <c r="A451" s="13">
        <v>2450</v>
      </c>
      <c r="B451" s="14" t="s">
        <v>285</v>
      </c>
      <c r="C451" s="13" t="s">
        <v>401</v>
      </c>
      <c r="D451" s="13" t="s">
        <v>407</v>
      </c>
      <c r="E451" s="13" t="s">
        <v>413</v>
      </c>
      <c r="F451" s="15">
        <v>12786</v>
      </c>
      <c r="G451" s="15">
        <v>1965.22</v>
      </c>
      <c r="H451" s="15">
        <f>Table2[[#This Row],[Profit]]/Table2[[#This Row],[Sales]]</f>
        <v>0.15370092288440482</v>
      </c>
    </row>
    <row r="452" spans="1:8" ht="12" customHeight="1" x14ac:dyDescent="0.3">
      <c r="A452" s="13">
        <v>2451</v>
      </c>
      <c r="B452" s="14" t="s">
        <v>286</v>
      </c>
      <c r="C452" s="13" t="s">
        <v>403</v>
      </c>
      <c r="D452" s="13" t="s">
        <v>405</v>
      </c>
      <c r="E452" s="13" t="s">
        <v>413</v>
      </c>
      <c r="F452" s="15">
        <v>19965</v>
      </c>
      <c r="G452" s="15">
        <v>2871.25</v>
      </c>
      <c r="H452" s="15">
        <f>Table2[[#This Row],[Profit]]/Table2[[#This Row],[Sales]]</f>
        <v>0.14381417480591036</v>
      </c>
    </row>
    <row r="453" spans="1:8" ht="12" customHeight="1" x14ac:dyDescent="0.3">
      <c r="A453" s="13">
        <v>2452</v>
      </c>
      <c r="B453" s="14" t="s">
        <v>52</v>
      </c>
      <c r="C453" s="13" t="s">
        <v>401</v>
      </c>
      <c r="D453" s="13" t="s">
        <v>407</v>
      </c>
      <c r="E453" s="13" t="s">
        <v>413</v>
      </c>
      <c r="F453" s="15">
        <v>20741</v>
      </c>
      <c r="G453" s="15">
        <v>6099.13</v>
      </c>
      <c r="H453" s="15">
        <f>Table2[[#This Row],[Profit]]/Table2[[#This Row],[Sales]]</f>
        <v>0.2940615206595632</v>
      </c>
    </row>
    <row r="454" spans="1:8" ht="12" customHeight="1" x14ac:dyDescent="0.3">
      <c r="A454" s="13">
        <v>2453</v>
      </c>
      <c r="B454" s="14" t="s">
        <v>287</v>
      </c>
      <c r="C454" s="13" t="s">
        <v>402</v>
      </c>
      <c r="D454" s="13" t="s">
        <v>407</v>
      </c>
      <c r="E454" s="13" t="s">
        <v>412</v>
      </c>
      <c r="F454" s="15">
        <v>1166</v>
      </c>
      <c r="G454" s="15">
        <v>299</v>
      </c>
      <c r="H454" s="15">
        <f>Table2[[#This Row],[Profit]]/Table2[[#This Row],[Sales]]</f>
        <v>0.25643224699828471</v>
      </c>
    </row>
    <row r="455" spans="1:8" ht="12" customHeight="1" x14ac:dyDescent="0.3">
      <c r="A455" s="13">
        <v>2454</v>
      </c>
      <c r="B455" s="14" t="s">
        <v>279</v>
      </c>
      <c r="C455" s="13" t="s">
        <v>404</v>
      </c>
      <c r="D455" s="13" t="s">
        <v>408</v>
      </c>
      <c r="E455" s="13" t="s">
        <v>412</v>
      </c>
      <c r="F455" s="15">
        <v>19842</v>
      </c>
      <c r="G455" s="15">
        <v>4388.8999999999996</v>
      </c>
      <c r="H455" s="15">
        <f>Table2[[#This Row],[Profit]]/Table2[[#This Row],[Sales]]</f>
        <v>0.22119242011893961</v>
      </c>
    </row>
    <row r="456" spans="1:8" ht="12" customHeight="1" x14ac:dyDescent="0.3">
      <c r="A456" s="13">
        <v>2455</v>
      </c>
      <c r="B456" s="14" t="s">
        <v>20</v>
      </c>
      <c r="C456" s="13" t="s">
        <v>404</v>
      </c>
      <c r="D456" s="13" t="s">
        <v>406</v>
      </c>
      <c r="E456" s="13" t="s">
        <v>411</v>
      </c>
      <c r="F456" s="15">
        <v>27699</v>
      </c>
      <c r="G456" s="15">
        <v>6364.22</v>
      </c>
      <c r="H456" s="15">
        <f>Table2[[#This Row],[Profit]]/Table2[[#This Row],[Sales]]</f>
        <v>0.22976352936929131</v>
      </c>
    </row>
    <row r="457" spans="1:8" ht="12" customHeight="1" x14ac:dyDescent="0.3">
      <c r="A457" s="13">
        <v>2456</v>
      </c>
      <c r="B457" s="14" t="s">
        <v>288</v>
      </c>
      <c r="C457" s="13" t="s">
        <v>402</v>
      </c>
      <c r="D457" s="13" t="s">
        <v>409</v>
      </c>
      <c r="E457" s="13" t="s">
        <v>412</v>
      </c>
      <c r="F457" s="15">
        <v>23405</v>
      </c>
      <c r="G457" s="15">
        <v>5024.07</v>
      </c>
      <c r="H457" s="15">
        <f>Table2[[#This Row],[Profit]]/Table2[[#This Row],[Sales]]</f>
        <v>0.21465797906430248</v>
      </c>
    </row>
    <row r="458" spans="1:8" ht="12" customHeight="1" x14ac:dyDescent="0.3">
      <c r="A458" s="13">
        <v>2457</v>
      </c>
      <c r="B458" s="14" t="s">
        <v>146</v>
      </c>
      <c r="C458" s="13" t="s">
        <v>404</v>
      </c>
      <c r="D458" s="13" t="s">
        <v>406</v>
      </c>
      <c r="E458" s="13" t="s">
        <v>413</v>
      </c>
      <c r="F458" s="15">
        <v>22336</v>
      </c>
      <c r="G458" s="15">
        <v>4851.01</v>
      </c>
      <c r="H458" s="15">
        <f>Table2[[#This Row],[Profit]]/Table2[[#This Row],[Sales]]</f>
        <v>0.21718347063037249</v>
      </c>
    </row>
    <row r="459" spans="1:8" ht="12" customHeight="1" x14ac:dyDescent="0.3">
      <c r="A459" s="13">
        <v>2458</v>
      </c>
      <c r="B459" s="14" t="s">
        <v>287</v>
      </c>
      <c r="C459" s="13" t="s">
        <v>404</v>
      </c>
      <c r="D459" s="13" t="s">
        <v>405</v>
      </c>
      <c r="E459" s="13" t="s">
        <v>413</v>
      </c>
      <c r="F459" s="15">
        <v>21907</v>
      </c>
      <c r="G459" s="15">
        <v>2334.15</v>
      </c>
      <c r="H459" s="15">
        <f>Table2[[#This Row],[Profit]]/Table2[[#This Row],[Sales]]</f>
        <v>0.10654813529921943</v>
      </c>
    </row>
    <row r="460" spans="1:8" ht="12" customHeight="1" x14ac:dyDescent="0.3">
      <c r="A460" s="13">
        <v>2459</v>
      </c>
      <c r="B460" s="14" t="s">
        <v>289</v>
      </c>
      <c r="C460" s="13" t="s">
        <v>402</v>
      </c>
      <c r="D460" s="13" t="s">
        <v>409</v>
      </c>
      <c r="E460" s="13" t="s">
        <v>412</v>
      </c>
      <c r="F460" s="15">
        <v>5025</v>
      </c>
      <c r="G460" s="15">
        <v>1106.05</v>
      </c>
      <c r="H460" s="15">
        <f>Table2[[#This Row],[Profit]]/Table2[[#This Row],[Sales]]</f>
        <v>0.22010945273631841</v>
      </c>
    </row>
    <row r="461" spans="1:8" ht="12" customHeight="1" x14ac:dyDescent="0.3">
      <c r="A461" s="13">
        <v>2460</v>
      </c>
      <c r="B461" s="14" t="s">
        <v>290</v>
      </c>
      <c r="C461" s="13" t="s">
        <v>401</v>
      </c>
      <c r="D461" s="13" t="s">
        <v>409</v>
      </c>
      <c r="E461" s="13" t="s">
        <v>413</v>
      </c>
      <c r="F461" s="15">
        <v>13375</v>
      </c>
      <c r="G461" s="15">
        <v>1928.49</v>
      </c>
      <c r="H461" s="15">
        <f>Table2[[#This Row],[Profit]]/Table2[[#This Row],[Sales]]</f>
        <v>0.14418616822429905</v>
      </c>
    </row>
    <row r="462" spans="1:8" ht="12" customHeight="1" x14ac:dyDescent="0.3">
      <c r="A462" s="13">
        <v>2461</v>
      </c>
      <c r="B462" s="14" t="s">
        <v>246</v>
      </c>
      <c r="C462" s="13" t="s">
        <v>402</v>
      </c>
      <c r="D462" s="13" t="s">
        <v>406</v>
      </c>
      <c r="E462" s="13" t="s">
        <v>412</v>
      </c>
      <c r="F462" s="15">
        <v>17255</v>
      </c>
      <c r="G462" s="15">
        <v>3601.96</v>
      </c>
      <c r="H462" s="15">
        <f>Table2[[#This Row],[Profit]]/Table2[[#This Row],[Sales]]</f>
        <v>0.20874876847290641</v>
      </c>
    </row>
    <row r="463" spans="1:8" ht="12" customHeight="1" x14ac:dyDescent="0.3">
      <c r="A463" s="13">
        <v>2462</v>
      </c>
      <c r="B463" s="14" t="s">
        <v>150</v>
      </c>
      <c r="C463" s="13" t="s">
        <v>401</v>
      </c>
      <c r="D463" s="13" t="s">
        <v>408</v>
      </c>
      <c r="E463" s="13" t="s">
        <v>411</v>
      </c>
      <c r="F463" s="15">
        <v>25476</v>
      </c>
      <c r="G463" s="15">
        <v>3695.85</v>
      </c>
      <c r="H463" s="15">
        <f>Table2[[#This Row],[Profit]]/Table2[[#This Row],[Sales]]</f>
        <v>0.14507183231276496</v>
      </c>
    </row>
    <row r="464" spans="1:8" ht="12" customHeight="1" x14ac:dyDescent="0.3">
      <c r="A464" s="13">
        <v>2463</v>
      </c>
      <c r="B464" s="14" t="s">
        <v>150</v>
      </c>
      <c r="C464" s="13" t="s">
        <v>402</v>
      </c>
      <c r="D464" s="13" t="s">
        <v>407</v>
      </c>
      <c r="E464" s="13" t="s">
        <v>413</v>
      </c>
      <c r="F464" s="15">
        <v>24062</v>
      </c>
      <c r="G464" s="15">
        <v>2574.6999999999998</v>
      </c>
      <c r="H464" s="15">
        <f>Table2[[#This Row],[Profit]]/Table2[[#This Row],[Sales]]</f>
        <v>0.10700274291413847</v>
      </c>
    </row>
    <row r="465" spans="1:8" ht="12" customHeight="1" x14ac:dyDescent="0.3">
      <c r="A465" s="13">
        <v>2464</v>
      </c>
      <c r="B465" s="14" t="s">
        <v>164</v>
      </c>
      <c r="C465" s="13" t="s">
        <v>403</v>
      </c>
      <c r="D465" s="13" t="s">
        <v>410</v>
      </c>
      <c r="E465" s="13" t="s">
        <v>411</v>
      </c>
      <c r="F465" s="15">
        <v>6138</v>
      </c>
      <c r="G465" s="15">
        <v>1506.1</v>
      </c>
      <c r="H465" s="15">
        <f>Table2[[#This Row],[Profit]]/Table2[[#This Row],[Sales]]</f>
        <v>0.24537308569566632</v>
      </c>
    </row>
    <row r="466" spans="1:8" ht="12" customHeight="1" x14ac:dyDescent="0.3">
      <c r="A466" s="13">
        <v>2465</v>
      </c>
      <c r="B466" s="14" t="s">
        <v>200</v>
      </c>
      <c r="C466" s="13" t="s">
        <v>401</v>
      </c>
      <c r="D466" s="13" t="s">
        <v>409</v>
      </c>
      <c r="E466" s="13" t="s">
        <v>413</v>
      </c>
      <c r="F466" s="15">
        <v>19640</v>
      </c>
      <c r="G466" s="15">
        <v>4352.18</v>
      </c>
      <c r="H466" s="15">
        <f>Table2[[#This Row],[Profit]]/Table2[[#This Row],[Sales]]</f>
        <v>0.22159775967413445</v>
      </c>
    </row>
    <row r="467" spans="1:8" ht="12" customHeight="1" x14ac:dyDescent="0.3">
      <c r="A467" s="13">
        <v>2466</v>
      </c>
      <c r="B467" s="14" t="s">
        <v>12</v>
      </c>
      <c r="C467" s="13" t="s">
        <v>401</v>
      </c>
      <c r="D467" s="13" t="s">
        <v>410</v>
      </c>
      <c r="E467" s="13" t="s">
        <v>413</v>
      </c>
      <c r="F467" s="15">
        <v>4062</v>
      </c>
      <c r="G467" s="15">
        <v>864.53</v>
      </c>
      <c r="H467" s="15">
        <f>Table2[[#This Row],[Profit]]/Table2[[#This Row],[Sales]]</f>
        <v>0.21283357951747905</v>
      </c>
    </row>
    <row r="468" spans="1:8" ht="12" customHeight="1" x14ac:dyDescent="0.3">
      <c r="A468" s="13">
        <v>2467</v>
      </c>
      <c r="B468" s="14" t="s">
        <v>270</v>
      </c>
      <c r="C468" s="13" t="s">
        <v>402</v>
      </c>
      <c r="D468" s="13" t="s">
        <v>409</v>
      </c>
      <c r="E468" s="13" t="s">
        <v>412</v>
      </c>
      <c r="F468" s="15">
        <v>4049</v>
      </c>
      <c r="G468" s="15">
        <v>494.78</v>
      </c>
      <c r="H468" s="15">
        <f>Table2[[#This Row],[Profit]]/Table2[[#This Row],[Sales]]</f>
        <v>0.12219807359841936</v>
      </c>
    </row>
    <row r="469" spans="1:8" ht="12" customHeight="1" x14ac:dyDescent="0.3">
      <c r="A469" s="13">
        <v>2468</v>
      </c>
      <c r="B469" s="14" t="s">
        <v>148</v>
      </c>
      <c r="C469" s="13" t="s">
        <v>402</v>
      </c>
      <c r="D469" s="13" t="s">
        <v>407</v>
      </c>
      <c r="E469" s="13" t="s">
        <v>411</v>
      </c>
      <c r="F469" s="15">
        <v>13887</v>
      </c>
      <c r="G469" s="15">
        <v>2466.9299999999998</v>
      </c>
      <c r="H469" s="15">
        <f>Table2[[#This Row],[Profit]]/Table2[[#This Row],[Sales]]</f>
        <v>0.17764311946424713</v>
      </c>
    </row>
    <row r="470" spans="1:8" ht="12" customHeight="1" x14ac:dyDescent="0.3">
      <c r="A470" s="13">
        <v>2469</v>
      </c>
      <c r="B470" s="14" t="s">
        <v>291</v>
      </c>
      <c r="C470" s="13" t="s">
        <v>401</v>
      </c>
      <c r="D470" s="13" t="s">
        <v>410</v>
      </c>
      <c r="E470" s="13" t="s">
        <v>411</v>
      </c>
      <c r="F470" s="15">
        <v>2394</v>
      </c>
      <c r="G470" s="15">
        <v>451.93</v>
      </c>
      <c r="H470" s="15">
        <f>Table2[[#This Row],[Profit]]/Table2[[#This Row],[Sales]]</f>
        <v>0.18877610693400168</v>
      </c>
    </row>
    <row r="471" spans="1:8" ht="12" customHeight="1" x14ac:dyDescent="0.3">
      <c r="A471" s="13">
        <v>2470</v>
      </c>
      <c r="B471" s="14" t="s">
        <v>176</v>
      </c>
      <c r="C471" s="13" t="s">
        <v>403</v>
      </c>
      <c r="D471" s="13" t="s">
        <v>406</v>
      </c>
      <c r="E471" s="13" t="s">
        <v>412</v>
      </c>
      <c r="F471" s="15">
        <v>24465</v>
      </c>
      <c r="G471" s="15">
        <v>2641.42</v>
      </c>
      <c r="H471" s="15">
        <f>Table2[[#This Row],[Profit]]/Table2[[#This Row],[Sales]]</f>
        <v>0.10796730022481096</v>
      </c>
    </row>
    <row r="472" spans="1:8" ht="12" customHeight="1" x14ac:dyDescent="0.3">
      <c r="A472" s="13">
        <v>2471</v>
      </c>
      <c r="B472" s="14" t="s">
        <v>292</v>
      </c>
      <c r="C472" s="13" t="s">
        <v>402</v>
      </c>
      <c r="D472" s="13" t="s">
        <v>406</v>
      </c>
      <c r="E472" s="13" t="s">
        <v>413</v>
      </c>
      <c r="F472" s="15">
        <v>27356</v>
      </c>
      <c r="G472" s="15">
        <v>5563.25</v>
      </c>
      <c r="H472" s="15">
        <f>Table2[[#This Row],[Profit]]/Table2[[#This Row],[Sales]]</f>
        <v>0.20336489252814738</v>
      </c>
    </row>
    <row r="473" spans="1:8" ht="12" customHeight="1" x14ac:dyDescent="0.3">
      <c r="A473" s="13">
        <v>2472</v>
      </c>
      <c r="B473" s="14" t="s">
        <v>94</v>
      </c>
      <c r="C473" s="13" t="s">
        <v>402</v>
      </c>
      <c r="D473" s="13" t="s">
        <v>406</v>
      </c>
      <c r="E473" s="13" t="s">
        <v>411</v>
      </c>
      <c r="F473" s="15">
        <v>16565</v>
      </c>
      <c r="G473" s="15">
        <v>4836.3100000000004</v>
      </c>
      <c r="H473" s="15">
        <f>Table2[[#This Row],[Profit]]/Table2[[#This Row],[Sales]]</f>
        <v>0.29195955327497741</v>
      </c>
    </row>
    <row r="474" spans="1:8" ht="12" customHeight="1" x14ac:dyDescent="0.3">
      <c r="A474" s="13">
        <v>2473</v>
      </c>
      <c r="B474" s="14" t="s">
        <v>293</v>
      </c>
      <c r="C474" s="13" t="s">
        <v>401</v>
      </c>
      <c r="D474" s="13" t="s">
        <v>409</v>
      </c>
      <c r="E474" s="13" t="s">
        <v>411</v>
      </c>
      <c r="F474" s="15">
        <v>10831</v>
      </c>
      <c r="G474" s="15">
        <v>1760.1</v>
      </c>
      <c r="H474" s="15">
        <f>Table2[[#This Row],[Profit]]/Table2[[#This Row],[Sales]]</f>
        <v>0.16250577047364048</v>
      </c>
    </row>
    <row r="475" spans="1:8" ht="12" customHeight="1" x14ac:dyDescent="0.3">
      <c r="A475" s="13">
        <v>2474</v>
      </c>
      <c r="B475" s="14" t="s">
        <v>294</v>
      </c>
      <c r="C475" s="13" t="s">
        <v>402</v>
      </c>
      <c r="D475" s="13" t="s">
        <v>406</v>
      </c>
      <c r="E475" s="13" t="s">
        <v>413</v>
      </c>
      <c r="F475" s="15">
        <v>15566</v>
      </c>
      <c r="G475" s="15">
        <v>1495.44</v>
      </c>
      <c r="H475" s="15">
        <f>Table2[[#This Row],[Profit]]/Table2[[#This Row],[Sales]]</f>
        <v>9.6070923808300152E-2</v>
      </c>
    </row>
    <row r="476" spans="1:8" ht="12" customHeight="1" x14ac:dyDescent="0.3">
      <c r="A476" s="13">
        <v>2475</v>
      </c>
      <c r="B476" s="14" t="s">
        <v>295</v>
      </c>
      <c r="C476" s="13" t="s">
        <v>402</v>
      </c>
      <c r="D476" s="13" t="s">
        <v>410</v>
      </c>
      <c r="E476" s="13" t="s">
        <v>411</v>
      </c>
      <c r="F476" s="15">
        <v>26608</v>
      </c>
      <c r="G476" s="15">
        <v>7246.44</v>
      </c>
      <c r="H476" s="15">
        <f>Table2[[#This Row],[Profit]]/Table2[[#This Row],[Sales]]</f>
        <v>0.2723406494287432</v>
      </c>
    </row>
    <row r="477" spans="1:8" ht="12" customHeight="1" x14ac:dyDescent="0.3">
      <c r="A477" s="13">
        <v>2476</v>
      </c>
      <c r="B477" s="14" t="s">
        <v>114</v>
      </c>
      <c r="C477" s="13" t="s">
        <v>402</v>
      </c>
      <c r="D477" s="13" t="s">
        <v>405</v>
      </c>
      <c r="E477" s="13" t="s">
        <v>412</v>
      </c>
      <c r="F477" s="15">
        <v>3623</v>
      </c>
      <c r="G477" s="15">
        <v>1058.23</v>
      </c>
      <c r="H477" s="15">
        <f>Table2[[#This Row],[Profit]]/Table2[[#This Row],[Sales]]</f>
        <v>0.29208666850676235</v>
      </c>
    </row>
    <row r="478" spans="1:8" ht="12" customHeight="1" x14ac:dyDescent="0.3">
      <c r="A478" s="13">
        <v>2477</v>
      </c>
      <c r="B478" s="14" t="s">
        <v>94</v>
      </c>
      <c r="C478" s="13" t="s">
        <v>401</v>
      </c>
      <c r="D478" s="13" t="s">
        <v>409</v>
      </c>
      <c r="E478" s="13" t="s">
        <v>412</v>
      </c>
      <c r="F478" s="15">
        <v>9808</v>
      </c>
      <c r="G478" s="15">
        <v>1937.48</v>
      </c>
      <c r="H478" s="15">
        <f>Table2[[#This Row],[Profit]]/Table2[[#This Row],[Sales]]</f>
        <v>0.19754078303425776</v>
      </c>
    </row>
    <row r="479" spans="1:8" ht="12" customHeight="1" x14ac:dyDescent="0.3">
      <c r="A479" s="13">
        <v>2478</v>
      </c>
      <c r="B479" s="14" t="s">
        <v>91</v>
      </c>
      <c r="C479" s="13" t="s">
        <v>402</v>
      </c>
      <c r="D479" s="13" t="s">
        <v>407</v>
      </c>
      <c r="E479" s="13" t="s">
        <v>411</v>
      </c>
      <c r="F479" s="15">
        <v>24246</v>
      </c>
      <c r="G479" s="15">
        <v>4362.08</v>
      </c>
      <c r="H479" s="15">
        <f>Table2[[#This Row],[Profit]]/Table2[[#This Row],[Sales]]</f>
        <v>0.1799092633836509</v>
      </c>
    </row>
    <row r="480" spans="1:8" ht="12" customHeight="1" x14ac:dyDescent="0.3">
      <c r="A480" s="13">
        <v>2479</v>
      </c>
      <c r="B480" s="14" t="s">
        <v>296</v>
      </c>
      <c r="C480" s="13" t="s">
        <v>402</v>
      </c>
      <c r="D480" s="13" t="s">
        <v>406</v>
      </c>
      <c r="E480" s="13" t="s">
        <v>411</v>
      </c>
      <c r="F480" s="15">
        <v>20408</v>
      </c>
      <c r="G480" s="15">
        <v>5372.96</v>
      </c>
      <c r="H480" s="15">
        <f>Table2[[#This Row],[Profit]]/Table2[[#This Row],[Sales]]</f>
        <v>0.26327714621716974</v>
      </c>
    </row>
    <row r="481" spans="1:8" ht="12" customHeight="1" x14ac:dyDescent="0.3">
      <c r="A481" s="13">
        <v>2480</v>
      </c>
      <c r="B481" s="14" t="s">
        <v>297</v>
      </c>
      <c r="C481" s="13" t="s">
        <v>402</v>
      </c>
      <c r="D481" s="13" t="s">
        <v>410</v>
      </c>
      <c r="E481" s="13" t="s">
        <v>412</v>
      </c>
      <c r="F481" s="15">
        <v>3239</v>
      </c>
      <c r="G481" s="15">
        <v>658.54</v>
      </c>
      <c r="H481" s="15">
        <f>Table2[[#This Row],[Profit]]/Table2[[#This Row],[Sales]]</f>
        <v>0.20331583822167335</v>
      </c>
    </row>
    <row r="482" spans="1:8" ht="12" customHeight="1" x14ac:dyDescent="0.3">
      <c r="A482" s="13">
        <v>2481</v>
      </c>
      <c r="B482" s="14" t="s">
        <v>298</v>
      </c>
      <c r="C482" s="13" t="s">
        <v>402</v>
      </c>
      <c r="D482" s="13" t="s">
        <v>410</v>
      </c>
      <c r="E482" s="13" t="s">
        <v>413</v>
      </c>
      <c r="F482" s="15">
        <v>15573</v>
      </c>
      <c r="G482" s="15">
        <v>2827.4</v>
      </c>
      <c r="H482" s="15">
        <f>Table2[[#This Row],[Profit]]/Table2[[#This Row],[Sales]]</f>
        <v>0.18155782443973545</v>
      </c>
    </row>
    <row r="483" spans="1:8" ht="12" customHeight="1" x14ac:dyDescent="0.3">
      <c r="A483" s="13">
        <v>2482</v>
      </c>
      <c r="B483" s="14" t="s">
        <v>299</v>
      </c>
      <c r="C483" s="13" t="s">
        <v>404</v>
      </c>
      <c r="D483" s="13" t="s">
        <v>407</v>
      </c>
      <c r="E483" s="13" t="s">
        <v>412</v>
      </c>
      <c r="F483" s="15">
        <v>18811</v>
      </c>
      <c r="G483" s="15">
        <v>4928.75</v>
      </c>
      <c r="H483" s="15">
        <f>Table2[[#This Row],[Profit]]/Table2[[#This Row],[Sales]]</f>
        <v>0.26201424698314818</v>
      </c>
    </row>
    <row r="484" spans="1:8" ht="12" customHeight="1" x14ac:dyDescent="0.3">
      <c r="A484" s="13">
        <v>2483</v>
      </c>
      <c r="B484" s="14" t="s">
        <v>58</v>
      </c>
      <c r="C484" s="13" t="s">
        <v>402</v>
      </c>
      <c r="D484" s="13" t="s">
        <v>408</v>
      </c>
      <c r="E484" s="13" t="s">
        <v>413</v>
      </c>
      <c r="F484" s="15">
        <v>25165</v>
      </c>
      <c r="G484" s="15">
        <v>2222.94</v>
      </c>
      <c r="H484" s="15">
        <f>Table2[[#This Row],[Profit]]/Table2[[#This Row],[Sales]]</f>
        <v>8.8334591694814224E-2</v>
      </c>
    </row>
    <row r="485" spans="1:8" ht="12" customHeight="1" x14ac:dyDescent="0.3">
      <c r="A485" s="13">
        <v>2484</v>
      </c>
      <c r="B485" s="14" t="s">
        <v>53</v>
      </c>
      <c r="C485" s="13" t="s">
        <v>401</v>
      </c>
      <c r="D485" s="13" t="s">
        <v>408</v>
      </c>
      <c r="E485" s="13" t="s">
        <v>413</v>
      </c>
      <c r="F485" s="15">
        <v>10715</v>
      </c>
      <c r="G485" s="15">
        <v>2743.14</v>
      </c>
      <c r="H485" s="15">
        <f>Table2[[#This Row],[Profit]]/Table2[[#This Row],[Sales]]</f>
        <v>0.25600933271115256</v>
      </c>
    </row>
    <row r="486" spans="1:8" ht="12" customHeight="1" x14ac:dyDescent="0.3">
      <c r="A486" s="13">
        <v>2485</v>
      </c>
      <c r="B486" s="14" t="s">
        <v>300</v>
      </c>
      <c r="C486" s="13" t="s">
        <v>401</v>
      </c>
      <c r="D486" s="13" t="s">
        <v>408</v>
      </c>
      <c r="E486" s="13" t="s">
        <v>411</v>
      </c>
      <c r="F486" s="15">
        <v>24699</v>
      </c>
      <c r="G486" s="15">
        <v>4093.08</v>
      </c>
      <c r="H486" s="15">
        <f>Table2[[#This Row],[Profit]]/Table2[[#This Row],[Sales]]</f>
        <v>0.16571845013968176</v>
      </c>
    </row>
    <row r="487" spans="1:8" ht="12" customHeight="1" x14ac:dyDescent="0.3">
      <c r="A487" s="13">
        <v>2486</v>
      </c>
      <c r="B487" s="14" t="s">
        <v>11</v>
      </c>
      <c r="C487" s="13" t="s">
        <v>402</v>
      </c>
      <c r="D487" s="13" t="s">
        <v>407</v>
      </c>
      <c r="E487" s="13" t="s">
        <v>412</v>
      </c>
      <c r="F487" s="15">
        <v>20651</v>
      </c>
      <c r="G487" s="15">
        <v>2368.3200000000002</v>
      </c>
      <c r="H487" s="15">
        <f>Table2[[#This Row],[Profit]]/Table2[[#This Row],[Sales]]</f>
        <v>0.11468306619534163</v>
      </c>
    </row>
    <row r="488" spans="1:8" ht="12" customHeight="1" x14ac:dyDescent="0.3">
      <c r="A488" s="13">
        <v>2487</v>
      </c>
      <c r="B488" s="14" t="s">
        <v>18</v>
      </c>
      <c r="C488" s="13" t="s">
        <v>403</v>
      </c>
      <c r="D488" s="13" t="s">
        <v>409</v>
      </c>
      <c r="E488" s="13" t="s">
        <v>413</v>
      </c>
      <c r="F488" s="15">
        <v>9283</v>
      </c>
      <c r="G488" s="15">
        <v>1144.1300000000001</v>
      </c>
      <c r="H488" s="15">
        <f>Table2[[#This Row],[Profit]]/Table2[[#This Row],[Sales]]</f>
        <v>0.12325002693094905</v>
      </c>
    </row>
    <row r="489" spans="1:8" ht="12" customHeight="1" x14ac:dyDescent="0.3">
      <c r="A489" s="13">
        <v>2488</v>
      </c>
      <c r="B489" s="14" t="s">
        <v>301</v>
      </c>
      <c r="C489" s="13" t="s">
        <v>403</v>
      </c>
      <c r="D489" s="13" t="s">
        <v>407</v>
      </c>
      <c r="E489" s="13" t="s">
        <v>413</v>
      </c>
      <c r="F489" s="15">
        <v>27420</v>
      </c>
      <c r="G489" s="15">
        <v>5309.49</v>
      </c>
      <c r="H489" s="15">
        <f>Table2[[#This Row],[Profit]]/Table2[[#This Row],[Sales]]</f>
        <v>0.19363566739606125</v>
      </c>
    </row>
    <row r="490" spans="1:8" ht="12" customHeight="1" x14ac:dyDescent="0.3">
      <c r="A490" s="13">
        <v>2489</v>
      </c>
      <c r="B490" s="14" t="s">
        <v>302</v>
      </c>
      <c r="C490" s="13" t="s">
        <v>404</v>
      </c>
      <c r="D490" s="13" t="s">
        <v>410</v>
      </c>
      <c r="E490" s="13" t="s">
        <v>411</v>
      </c>
      <c r="F490" s="15">
        <v>17459</v>
      </c>
      <c r="G490" s="15">
        <v>2941.24</v>
      </c>
      <c r="H490" s="15">
        <f>Table2[[#This Row],[Profit]]/Table2[[#This Row],[Sales]]</f>
        <v>0.1684655478549745</v>
      </c>
    </row>
    <row r="491" spans="1:8" ht="12" customHeight="1" x14ac:dyDescent="0.3">
      <c r="A491" s="13">
        <v>2490</v>
      </c>
      <c r="B491" s="14" t="s">
        <v>51</v>
      </c>
      <c r="C491" s="13" t="s">
        <v>403</v>
      </c>
      <c r="D491" s="13" t="s">
        <v>407</v>
      </c>
      <c r="E491" s="13" t="s">
        <v>412</v>
      </c>
      <c r="F491" s="15">
        <v>5568</v>
      </c>
      <c r="G491" s="15">
        <v>523.91999999999996</v>
      </c>
      <c r="H491" s="15">
        <f>Table2[[#This Row],[Profit]]/Table2[[#This Row],[Sales]]</f>
        <v>9.4094827586206894E-2</v>
      </c>
    </row>
    <row r="492" spans="1:8" ht="12" customHeight="1" x14ac:dyDescent="0.3">
      <c r="A492" s="13">
        <v>2491</v>
      </c>
      <c r="B492" s="14" t="s">
        <v>187</v>
      </c>
      <c r="C492" s="13" t="s">
        <v>403</v>
      </c>
      <c r="D492" s="13" t="s">
        <v>405</v>
      </c>
      <c r="E492" s="13" t="s">
        <v>411</v>
      </c>
      <c r="F492" s="15">
        <v>8797</v>
      </c>
      <c r="G492" s="15">
        <v>994.11</v>
      </c>
      <c r="H492" s="15">
        <f>Table2[[#This Row],[Profit]]/Table2[[#This Row],[Sales]]</f>
        <v>0.11300557008070933</v>
      </c>
    </row>
    <row r="493" spans="1:8" ht="12" customHeight="1" x14ac:dyDescent="0.3">
      <c r="A493" s="13">
        <v>2492</v>
      </c>
      <c r="B493" s="14" t="s">
        <v>15</v>
      </c>
      <c r="C493" s="13" t="s">
        <v>403</v>
      </c>
      <c r="D493" s="13" t="s">
        <v>406</v>
      </c>
      <c r="E493" s="13" t="s">
        <v>413</v>
      </c>
      <c r="F493" s="15">
        <v>10194</v>
      </c>
      <c r="G493" s="15">
        <v>1521.97</v>
      </c>
      <c r="H493" s="15">
        <f>Table2[[#This Row],[Profit]]/Table2[[#This Row],[Sales]]</f>
        <v>0.14930056896213459</v>
      </c>
    </row>
    <row r="494" spans="1:8" ht="12" customHeight="1" x14ac:dyDescent="0.3">
      <c r="A494" s="13">
        <v>2493</v>
      </c>
      <c r="B494" s="14" t="s">
        <v>61</v>
      </c>
      <c r="C494" s="13" t="s">
        <v>402</v>
      </c>
      <c r="D494" s="13" t="s">
        <v>407</v>
      </c>
      <c r="E494" s="13" t="s">
        <v>411</v>
      </c>
      <c r="F494" s="15">
        <v>5935</v>
      </c>
      <c r="G494" s="15">
        <v>1615.7</v>
      </c>
      <c r="H494" s="15">
        <f>Table2[[#This Row],[Profit]]/Table2[[#This Row],[Sales]]</f>
        <v>0.27223251895534961</v>
      </c>
    </row>
    <row r="495" spans="1:8" ht="12" customHeight="1" x14ac:dyDescent="0.3">
      <c r="A495" s="13">
        <v>2494</v>
      </c>
      <c r="B495" s="14" t="s">
        <v>205</v>
      </c>
      <c r="C495" s="13" t="s">
        <v>401</v>
      </c>
      <c r="D495" s="13" t="s">
        <v>405</v>
      </c>
      <c r="E495" s="13" t="s">
        <v>412</v>
      </c>
      <c r="F495" s="15">
        <v>24048</v>
      </c>
      <c r="G495" s="15">
        <v>3365.03</v>
      </c>
      <c r="H495" s="15">
        <f>Table2[[#This Row],[Profit]]/Table2[[#This Row],[Sales]]</f>
        <v>0.13992972388556221</v>
      </c>
    </row>
    <row r="496" spans="1:8" ht="12" customHeight="1" x14ac:dyDescent="0.3">
      <c r="A496" s="13">
        <v>2495</v>
      </c>
      <c r="B496" s="14" t="s">
        <v>302</v>
      </c>
      <c r="C496" s="13" t="s">
        <v>401</v>
      </c>
      <c r="D496" s="13" t="s">
        <v>407</v>
      </c>
      <c r="E496" s="13" t="s">
        <v>413</v>
      </c>
      <c r="F496" s="15">
        <v>1610</v>
      </c>
      <c r="G496" s="15">
        <v>295.54000000000002</v>
      </c>
      <c r="H496" s="15">
        <f>Table2[[#This Row],[Profit]]/Table2[[#This Row],[Sales]]</f>
        <v>0.18356521739130435</v>
      </c>
    </row>
    <row r="497" spans="1:8" ht="12" customHeight="1" x14ac:dyDescent="0.3">
      <c r="A497" s="13">
        <v>2496</v>
      </c>
      <c r="B497" s="14" t="s">
        <v>289</v>
      </c>
      <c r="C497" s="13" t="s">
        <v>404</v>
      </c>
      <c r="D497" s="13" t="s">
        <v>409</v>
      </c>
      <c r="E497" s="13" t="s">
        <v>412</v>
      </c>
      <c r="F497" s="15">
        <v>18257</v>
      </c>
      <c r="G497" s="15">
        <v>2502.04</v>
      </c>
      <c r="H497" s="15">
        <f>Table2[[#This Row],[Profit]]/Table2[[#This Row],[Sales]]</f>
        <v>0.13704551678808127</v>
      </c>
    </row>
    <row r="498" spans="1:8" ht="12" customHeight="1" x14ac:dyDescent="0.3">
      <c r="A498" s="13">
        <v>2497</v>
      </c>
      <c r="B498" s="14" t="s">
        <v>18</v>
      </c>
      <c r="C498" s="13" t="s">
        <v>403</v>
      </c>
      <c r="D498" s="13" t="s">
        <v>407</v>
      </c>
      <c r="E498" s="13" t="s">
        <v>413</v>
      </c>
      <c r="F498" s="15">
        <v>16454</v>
      </c>
      <c r="G498" s="15">
        <v>3520.13</v>
      </c>
      <c r="H498" s="15">
        <f>Table2[[#This Row],[Profit]]/Table2[[#This Row],[Sales]]</f>
        <v>0.2139376443418014</v>
      </c>
    </row>
    <row r="499" spans="1:8" ht="12" customHeight="1" x14ac:dyDescent="0.3">
      <c r="A499" s="13">
        <v>2498</v>
      </c>
      <c r="B499" s="14" t="s">
        <v>137</v>
      </c>
      <c r="C499" s="13" t="s">
        <v>401</v>
      </c>
      <c r="D499" s="13" t="s">
        <v>410</v>
      </c>
      <c r="E499" s="13" t="s">
        <v>411</v>
      </c>
      <c r="F499" s="15">
        <v>5940</v>
      </c>
      <c r="G499" s="15">
        <v>1514.84</v>
      </c>
      <c r="H499" s="15">
        <f>Table2[[#This Row],[Profit]]/Table2[[#This Row],[Sales]]</f>
        <v>0.25502356902356899</v>
      </c>
    </row>
    <row r="500" spans="1:8" ht="12" customHeight="1" x14ac:dyDescent="0.3">
      <c r="A500" s="13">
        <v>2499</v>
      </c>
      <c r="B500" s="14" t="s">
        <v>93</v>
      </c>
      <c r="C500" s="13" t="s">
        <v>404</v>
      </c>
      <c r="D500" s="13" t="s">
        <v>405</v>
      </c>
      <c r="E500" s="13" t="s">
        <v>412</v>
      </c>
      <c r="F500" s="15">
        <v>20675</v>
      </c>
      <c r="G500" s="15">
        <v>6133.76</v>
      </c>
      <c r="H500" s="15">
        <f>Table2[[#This Row],[Profit]]/Table2[[#This Row],[Sales]]</f>
        <v>0.29667521160822252</v>
      </c>
    </row>
    <row r="501" spans="1:8" ht="12" customHeight="1" x14ac:dyDescent="0.3">
      <c r="A501" s="13">
        <v>2500</v>
      </c>
      <c r="B501" s="14" t="s">
        <v>226</v>
      </c>
      <c r="C501" s="13" t="s">
        <v>403</v>
      </c>
      <c r="D501" s="13" t="s">
        <v>409</v>
      </c>
      <c r="E501" s="13" t="s">
        <v>412</v>
      </c>
      <c r="F501" s="15">
        <v>19899</v>
      </c>
      <c r="G501" s="15">
        <v>4239.84</v>
      </c>
      <c r="H501" s="15">
        <f>Table2[[#This Row],[Profit]]/Table2[[#This Row],[Sales]]</f>
        <v>0.21306799336650084</v>
      </c>
    </row>
    <row r="502" spans="1:8" ht="12" customHeight="1" x14ac:dyDescent="0.3">
      <c r="A502" s="13">
        <v>2501</v>
      </c>
      <c r="B502" s="14" t="s">
        <v>112</v>
      </c>
      <c r="C502" s="13" t="s">
        <v>402</v>
      </c>
      <c r="D502" s="13" t="s">
        <v>407</v>
      </c>
      <c r="E502" s="13" t="s">
        <v>411</v>
      </c>
      <c r="F502" s="15">
        <v>12033</v>
      </c>
      <c r="G502" s="15">
        <v>3445.83</v>
      </c>
      <c r="H502" s="15">
        <f>Table2[[#This Row],[Profit]]/Table2[[#This Row],[Sales]]</f>
        <v>0.28636499626028422</v>
      </c>
    </row>
    <row r="503" spans="1:8" ht="12" customHeight="1" x14ac:dyDescent="0.3">
      <c r="A503" s="13">
        <v>2502</v>
      </c>
      <c r="B503" s="14" t="s">
        <v>32</v>
      </c>
      <c r="C503" s="13" t="s">
        <v>402</v>
      </c>
      <c r="D503" s="13" t="s">
        <v>405</v>
      </c>
      <c r="E503" s="13" t="s">
        <v>413</v>
      </c>
      <c r="F503" s="15">
        <v>1715</v>
      </c>
      <c r="G503" s="15">
        <v>305.45</v>
      </c>
      <c r="H503" s="15">
        <f>Table2[[#This Row],[Profit]]/Table2[[#This Row],[Sales]]</f>
        <v>0.17810495626822156</v>
      </c>
    </row>
    <row r="504" spans="1:8" ht="12" customHeight="1" x14ac:dyDescent="0.3">
      <c r="A504" s="13">
        <v>2503</v>
      </c>
      <c r="B504" s="14" t="s">
        <v>303</v>
      </c>
      <c r="C504" s="13" t="s">
        <v>403</v>
      </c>
      <c r="D504" s="13" t="s">
        <v>410</v>
      </c>
      <c r="E504" s="13" t="s">
        <v>412</v>
      </c>
      <c r="F504" s="15">
        <v>22122</v>
      </c>
      <c r="G504" s="15">
        <v>2217.8000000000002</v>
      </c>
      <c r="H504" s="15">
        <f>Table2[[#This Row],[Profit]]/Table2[[#This Row],[Sales]]</f>
        <v>0.10025314166892686</v>
      </c>
    </row>
    <row r="505" spans="1:8" ht="12" customHeight="1" x14ac:dyDescent="0.3">
      <c r="A505" s="13">
        <v>2504</v>
      </c>
      <c r="B505" s="14" t="s">
        <v>161</v>
      </c>
      <c r="C505" s="13" t="s">
        <v>402</v>
      </c>
      <c r="D505" s="13" t="s">
        <v>408</v>
      </c>
      <c r="E505" s="13" t="s">
        <v>412</v>
      </c>
      <c r="F505" s="15">
        <v>3478</v>
      </c>
      <c r="G505" s="15">
        <v>885.19</v>
      </c>
      <c r="H505" s="15">
        <f>Table2[[#This Row],[Profit]]/Table2[[#This Row],[Sales]]</f>
        <v>0.25451121334100058</v>
      </c>
    </row>
    <row r="506" spans="1:8" ht="12" customHeight="1" x14ac:dyDescent="0.3">
      <c r="A506" s="13">
        <v>2505</v>
      </c>
      <c r="B506" s="14" t="s">
        <v>304</v>
      </c>
      <c r="C506" s="13" t="s">
        <v>402</v>
      </c>
      <c r="D506" s="13" t="s">
        <v>408</v>
      </c>
      <c r="E506" s="13" t="s">
        <v>412</v>
      </c>
      <c r="F506" s="15">
        <v>2508</v>
      </c>
      <c r="G506" s="15">
        <v>743.21</v>
      </c>
      <c r="H506" s="15">
        <f>Table2[[#This Row],[Profit]]/Table2[[#This Row],[Sales]]</f>
        <v>0.29633572567783095</v>
      </c>
    </row>
    <row r="507" spans="1:8" ht="12" customHeight="1" x14ac:dyDescent="0.3">
      <c r="A507" s="13">
        <v>2506</v>
      </c>
      <c r="B507" s="14" t="s">
        <v>95</v>
      </c>
      <c r="C507" s="13" t="s">
        <v>402</v>
      </c>
      <c r="D507" s="13" t="s">
        <v>408</v>
      </c>
      <c r="E507" s="13" t="s">
        <v>412</v>
      </c>
      <c r="F507" s="15">
        <v>22243</v>
      </c>
      <c r="G507" s="15">
        <v>3202.87</v>
      </c>
      <c r="H507" s="15">
        <f>Table2[[#This Row],[Profit]]/Table2[[#This Row],[Sales]]</f>
        <v>0.14399451512835498</v>
      </c>
    </row>
    <row r="508" spans="1:8" ht="12" customHeight="1" x14ac:dyDescent="0.3">
      <c r="A508" s="13">
        <v>2507</v>
      </c>
      <c r="B508" s="14" t="s">
        <v>138</v>
      </c>
      <c r="C508" s="13" t="s">
        <v>403</v>
      </c>
      <c r="D508" s="13" t="s">
        <v>405</v>
      </c>
      <c r="E508" s="13" t="s">
        <v>413</v>
      </c>
      <c r="F508" s="15">
        <v>24410</v>
      </c>
      <c r="G508" s="15">
        <v>3305.94</v>
      </c>
      <c r="H508" s="15">
        <f>Table2[[#This Row],[Profit]]/Table2[[#This Row],[Sales]]</f>
        <v>0.13543383859074151</v>
      </c>
    </row>
    <row r="509" spans="1:8" ht="12" customHeight="1" x14ac:dyDescent="0.3">
      <c r="A509" s="13">
        <v>2508</v>
      </c>
      <c r="B509" s="14" t="s">
        <v>104</v>
      </c>
      <c r="C509" s="13" t="s">
        <v>403</v>
      </c>
      <c r="D509" s="13" t="s">
        <v>408</v>
      </c>
      <c r="E509" s="13" t="s">
        <v>413</v>
      </c>
      <c r="F509" s="15">
        <v>6136</v>
      </c>
      <c r="G509" s="15">
        <v>1170.73</v>
      </c>
      <c r="H509" s="15">
        <f>Table2[[#This Row],[Profit]]/Table2[[#This Row],[Sales]]</f>
        <v>0.19079693611473272</v>
      </c>
    </row>
    <row r="510" spans="1:8" ht="12" customHeight="1" x14ac:dyDescent="0.3">
      <c r="A510" s="13">
        <v>2509</v>
      </c>
      <c r="B510" s="14" t="s">
        <v>112</v>
      </c>
      <c r="C510" s="13" t="s">
        <v>401</v>
      </c>
      <c r="D510" s="13" t="s">
        <v>408</v>
      </c>
      <c r="E510" s="13" t="s">
        <v>412</v>
      </c>
      <c r="F510" s="15">
        <v>26222</v>
      </c>
      <c r="G510" s="15">
        <v>2172.91</v>
      </c>
      <c r="H510" s="15">
        <f>Table2[[#This Row],[Profit]]/Table2[[#This Row],[Sales]]</f>
        <v>8.2865914117916245E-2</v>
      </c>
    </row>
    <row r="511" spans="1:8" ht="12" customHeight="1" x14ac:dyDescent="0.3">
      <c r="A511" s="13">
        <v>2510</v>
      </c>
      <c r="B511" s="14" t="s">
        <v>223</v>
      </c>
      <c r="C511" s="13" t="s">
        <v>404</v>
      </c>
      <c r="D511" s="13" t="s">
        <v>407</v>
      </c>
      <c r="E511" s="13" t="s">
        <v>413</v>
      </c>
      <c r="F511" s="15">
        <v>28623</v>
      </c>
      <c r="G511" s="15">
        <v>5843.94</v>
      </c>
      <c r="H511" s="15">
        <f>Table2[[#This Row],[Profit]]/Table2[[#This Row],[Sales]]</f>
        <v>0.20416937427942564</v>
      </c>
    </row>
    <row r="512" spans="1:8" ht="12" customHeight="1" x14ac:dyDescent="0.3">
      <c r="A512" s="13">
        <v>2511</v>
      </c>
      <c r="B512" s="14" t="s">
        <v>210</v>
      </c>
      <c r="C512" s="13" t="s">
        <v>404</v>
      </c>
      <c r="D512" s="13" t="s">
        <v>408</v>
      </c>
      <c r="E512" s="13" t="s">
        <v>411</v>
      </c>
      <c r="F512" s="15">
        <v>25698</v>
      </c>
      <c r="G512" s="15">
        <v>3174.36</v>
      </c>
      <c r="H512" s="15">
        <f>Table2[[#This Row],[Profit]]/Table2[[#This Row],[Sales]]</f>
        <v>0.12352556619192155</v>
      </c>
    </row>
    <row r="513" spans="1:8" ht="12" customHeight="1" x14ac:dyDescent="0.3">
      <c r="A513" s="13">
        <v>2512</v>
      </c>
      <c r="B513" s="14" t="s">
        <v>267</v>
      </c>
      <c r="C513" s="13" t="s">
        <v>402</v>
      </c>
      <c r="D513" s="13" t="s">
        <v>406</v>
      </c>
      <c r="E513" s="13" t="s">
        <v>413</v>
      </c>
      <c r="F513" s="15">
        <v>24519</v>
      </c>
      <c r="G513" s="15">
        <v>6407.56</v>
      </c>
      <c r="H513" s="15">
        <f>Table2[[#This Row],[Profit]]/Table2[[#This Row],[Sales]]</f>
        <v>0.2613303968351075</v>
      </c>
    </row>
    <row r="514" spans="1:8" ht="12" customHeight="1" x14ac:dyDescent="0.3">
      <c r="A514" s="13">
        <v>2513</v>
      </c>
      <c r="B514" s="14" t="s">
        <v>249</v>
      </c>
      <c r="C514" s="13" t="s">
        <v>404</v>
      </c>
      <c r="D514" s="13" t="s">
        <v>405</v>
      </c>
      <c r="E514" s="13" t="s">
        <v>413</v>
      </c>
      <c r="F514" s="15">
        <v>28061</v>
      </c>
      <c r="G514" s="15">
        <v>4426.3100000000004</v>
      </c>
      <c r="H514" s="15">
        <f>Table2[[#This Row],[Profit]]/Table2[[#This Row],[Sales]]</f>
        <v>0.15773885463810985</v>
      </c>
    </row>
    <row r="515" spans="1:8" ht="12" customHeight="1" x14ac:dyDescent="0.3">
      <c r="A515" s="13">
        <v>2514</v>
      </c>
      <c r="B515" s="14" t="s">
        <v>245</v>
      </c>
      <c r="C515" s="13" t="s">
        <v>401</v>
      </c>
      <c r="D515" s="13" t="s">
        <v>409</v>
      </c>
      <c r="E515" s="13" t="s">
        <v>411</v>
      </c>
      <c r="F515" s="15">
        <v>22413</v>
      </c>
      <c r="G515" s="15">
        <v>5586.26</v>
      </c>
      <c r="H515" s="15">
        <f>Table2[[#This Row],[Profit]]/Table2[[#This Row],[Sales]]</f>
        <v>0.24924195779235267</v>
      </c>
    </row>
    <row r="516" spans="1:8" ht="12" customHeight="1" x14ac:dyDescent="0.3">
      <c r="A516" s="13">
        <v>2515</v>
      </c>
      <c r="B516" s="14" t="s">
        <v>190</v>
      </c>
      <c r="C516" s="13" t="s">
        <v>401</v>
      </c>
      <c r="D516" s="13" t="s">
        <v>406</v>
      </c>
      <c r="E516" s="13" t="s">
        <v>411</v>
      </c>
      <c r="F516" s="15">
        <v>18994</v>
      </c>
      <c r="G516" s="15">
        <v>2544.2600000000002</v>
      </c>
      <c r="H516" s="15">
        <f>Table2[[#This Row],[Profit]]/Table2[[#This Row],[Sales]]</f>
        <v>0.13395072128040436</v>
      </c>
    </row>
    <row r="517" spans="1:8" ht="12" customHeight="1" x14ac:dyDescent="0.3">
      <c r="A517" s="13">
        <v>2516</v>
      </c>
      <c r="B517" s="14" t="s">
        <v>305</v>
      </c>
      <c r="C517" s="13" t="s">
        <v>401</v>
      </c>
      <c r="D517" s="13" t="s">
        <v>407</v>
      </c>
      <c r="E517" s="13" t="s">
        <v>413</v>
      </c>
      <c r="F517" s="15">
        <v>9885</v>
      </c>
      <c r="G517" s="15">
        <v>1425.7</v>
      </c>
      <c r="H517" s="15">
        <f>Table2[[#This Row],[Profit]]/Table2[[#This Row],[Sales]]</f>
        <v>0.14422862923621649</v>
      </c>
    </row>
    <row r="518" spans="1:8" ht="12" customHeight="1" x14ac:dyDescent="0.3">
      <c r="A518" s="13">
        <v>2517</v>
      </c>
      <c r="B518" s="14" t="s">
        <v>240</v>
      </c>
      <c r="C518" s="13" t="s">
        <v>403</v>
      </c>
      <c r="D518" s="13" t="s">
        <v>407</v>
      </c>
      <c r="E518" s="13" t="s">
        <v>412</v>
      </c>
      <c r="F518" s="15">
        <v>3360</v>
      </c>
      <c r="G518" s="15">
        <v>943.87</v>
      </c>
      <c r="H518" s="15">
        <f>Table2[[#This Row],[Profit]]/Table2[[#This Row],[Sales]]</f>
        <v>0.28091369047619047</v>
      </c>
    </row>
    <row r="519" spans="1:8" ht="12" customHeight="1" x14ac:dyDescent="0.3">
      <c r="A519" s="13">
        <v>2518</v>
      </c>
      <c r="B519" s="14" t="s">
        <v>306</v>
      </c>
      <c r="C519" s="13" t="s">
        <v>402</v>
      </c>
      <c r="D519" s="13" t="s">
        <v>409</v>
      </c>
      <c r="E519" s="13" t="s">
        <v>412</v>
      </c>
      <c r="F519" s="15">
        <v>23900</v>
      </c>
      <c r="G519" s="15">
        <v>2799.29</v>
      </c>
      <c r="H519" s="15">
        <f>Table2[[#This Row],[Profit]]/Table2[[#This Row],[Sales]]</f>
        <v>0.11712510460251045</v>
      </c>
    </row>
    <row r="520" spans="1:8" ht="12" customHeight="1" x14ac:dyDescent="0.3">
      <c r="A520" s="13">
        <v>2519</v>
      </c>
      <c r="B520" s="14" t="s">
        <v>307</v>
      </c>
      <c r="C520" s="13" t="s">
        <v>402</v>
      </c>
      <c r="D520" s="13" t="s">
        <v>405</v>
      </c>
      <c r="E520" s="13" t="s">
        <v>413</v>
      </c>
      <c r="F520" s="15">
        <v>9113</v>
      </c>
      <c r="G520" s="15">
        <v>1020.56</v>
      </c>
      <c r="H520" s="15">
        <f>Table2[[#This Row],[Profit]]/Table2[[#This Row],[Sales]]</f>
        <v>0.11198946559859541</v>
      </c>
    </row>
    <row r="521" spans="1:8" ht="12" customHeight="1" x14ac:dyDescent="0.3">
      <c r="A521" s="13">
        <v>2520</v>
      </c>
      <c r="B521" s="14" t="s">
        <v>124</v>
      </c>
      <c r="C521" s="13" t="s">
        <v>402</v>
      </c>
      <c r="D521" s="13" t="s">
        <v>405</v>
      </c>
      <c r="E521" s="13" t="s">
        <v>411</v>
      </c>
      <c r="F521" s="15">
        <v>21795</v>
      </c>
      <c r="G521" s="15">
        <v>1984.75</v>
      </c>
      <c r="H521" s="15">
        <f>Table2[[#This Row],[Profit]]/Table2[[#This Row],[Sales]]</f>
        <v>9.106446432668043E-2</v>
      </c>
    </row>
    <row r="522" spans="1:8" ht="12" customHeight="1" x14ac:dyDescent="0.3">
      <c r="A522" s="13">
        <v>2521</v>
      </c>
      <c r="B522" s="14" t="s">
        <v>304</v>
      </c>
      <c r="C522" s="13" t="s">
        <v>403</v>
      </c>
      <c r="D522" s="13" t="s">
        <v>407</v>
      </c>
      <c r="E522" s="13" t="s">
        <v>411</v>
      </c>
      <c r="F522" s="15">
        <v>9845</v>
      </c>
      <c r="G522" s="15">
        <v>2158.34</v>
      </c>
      <c r="H522" s="15">
        <f>Table2[[#This Row],[Profit]]/Table2[[#This Row],[Sales]]</f>
        <v>0.21923209751142714</v>
      </c>
    </row>
    <row r="523" spans="1:8" ht="12" customHeight="1" x14ac:dyDescent="0.3">
      <c r="A523" s="13">
        <v>2522</v>
      </c>
      <c r="B523" s="14" t="s">
        <v>244</v>
      </c>
      <c r="C523" s="13" t="s">
        <v>402</v>
      </c>
      <c r="D523" s="13" t="s">
        <v>406</v>
      </c>
      <c r="E523" s="13" t="s">
        <v>413</v>
      </c>
      <c r="F523" s="15">
        <v>7549</v>
      </c>
      <c r="G523" s="15">
        <v>1194.73</v>
      </c>
      <c r="H523" s="15">
        <f>Table2[[#This Row],[Profit]]/Table2[[#This Row],[Sales]]</f>
        <v>0.15826334613856141</v>
      </c>
    </row>
    <row r="524" spans="1:8" ht="12" customHeight="1" x14ac:dyDescent="0.3">
      <c r="A524" s="13">
        <v>2523</v>
      </c>
      <c r="B524" s="14" t="s">
        <v>75</v>
      </c>
      <c r="C524" s="13" t="s">
        <v>403</v>
      </c>
      <c r="D524" s="13" t="s">
        <v>409</v>
      </c>
      <c r="E524" s="13" t="s">
        <v>411</v>
      </c>
      <c r="F524" s="15">
        <v>10913</v>
      </c>
      <c r="G524" s="15">
        <v>1235.8499999999999</v>
      </c>
      <c r="H524" s="15">
        <f>Table2[[#This Row],[Profit]]/Table2[[#This Row],[Sales]]</f>
        <v>0.1132456703014753</v>
      </c>
    </row>
    <row r="525" spans="1:8" ht="12" customHeight="1" x14ac:dyDescent="0.3">
      <c r="A525" s="13">
        <v>2524</v>
      </c>
      <c r="B525" s="14" t="s">
        <v>250</v>
      </c>
      <c r="C525" s="13" t="s">
        <v>404</v>
      </c>
      <c r="D525" s="13" t="s">
        <v>406</v>
      </c>
      <c r="E525" s="13" t="s">
        <v>413</v>
      </c>
      <c r="F525" s="15">
        <v>1616</v>
      </c>
      <c r="G525" s="15">
        <v>282.75</v>
      </c>
      <c r="H525" s="15">
        <f>Table2[[#This Row],[Profit]]/Table2[[#This Row],[Sales]]</f>
        <v>0.1749690594059406</v>
      </c>
    </row>
    <row r="526" spans="1:8" ht="12" customHeight="1" x14ac:dyDescent="0.3">
      <c r="A526" s="13">
        <v>2525</v>
      </c>
      <c r="B526" s="14" t="s">
        <v>188</v>
      </c>
      <c r="C526" s="13" t="s">
        <v>403</v>
      </c>
      <c r="D526" s="13" t="s">
        <v>406</v>
      </c>
      <c r="E526" s="13" t="s">
        <v>412</v>
      </c>
      <c r="F526" s="15">
        <v>17811</v>
      </c>
      <c r="G526" s="15">
        <v>3076.7</v>
      </c>
      <c r="H526" s="15">
        <f>Table2[[#This Row],[Profit]]/Table2[[#This Row],[Sales]]</f>
        <v>0.17274156420189771</v>
      </c>
    </row>
    <row r="527" spans="1:8" ht="12" customHeight="1" x14ac:dyDescent="0.3">
      <c r="A527" s="13">
        <v>2526</v>
      </c>
      <c r="B527" s="14" t="s">
        <v>308</v>
      </c>
      <c r="C527" s="13" t="s">
        <v>401</v>
      </c>
      <c r="D527" s="13" t="s">
        <v>407</v>
      </c>
      <c r="E527" s="13" t="s">
        <v>411</v>
      </c>
      <c r="F527" s="15">
        <v>23085</v>
      </c>
      <c r="G527" s="15">
        <v>2015.65</v>
      </c>
      <c r="H527" s="15">
        <f>Table2[[#This Row],[Profit]]/Table2[[#This Row],[Sales]]</f>
        <v>8.7314273337665158E-2</v>
      </c>
    </row>
    <row r="528" spans="1:8" ht="12" customHeight="1" x14ac:dyDescent="0.3">
      <c r="A528" s="13">
        <v>2527</v>
      </c>
      <c r="B528" s="14" t="s">
        <v>21</v>
      </c>
      <c r="C528" s="13" t="s">
        <v>403</v>
      </c>
      <c r="D528" s="13" t="s">
        <v>407</v>
      </c>
      <c r="E528" s="13" t="s">
        <v>412</v>
      </c>
      <c r="F528" s="15">
        <v>13012</v>
      </c>
      <c r="G528" s="15">
        <v>1046.2</v>
      </c>
      <c r="H528" s="15">
        <f>Table2[[#This Row],[Profit]]/Table2[[#This Row],[Sales]]</f>
        <v>8.0402705195204427E-2</v>
      </c>
    </row>
    <row r="529" spans="1:8" ht="12" customHeight="1" x14ac:dyDescent="0.3">
      <c r="A529" s="13">
        <v>2528</v>
      </c>
      <c r="B529" s="14" t="s">
        <v>81</v>
      </c>
      <c r="C529" s="13" t="s">
        <v>404</v>
      </c>
      <c r="D529" s="13" t="s">
        <v>410</v>
      </c>
      <c r="E529" s="13" t="s">
        <v>413</v>
      </c>
      <c r="F529" s="15">
        <v>21969</v>
      </c>
      <c r="G529" s="15">
        <v>3025.03</v>
      </c>
      <c r="H529" s="15">
        <f>Table2[[#This Row],[Profit]]/Table2[[#This Row],[Sales]]</f>
        <v>0.13769538895716693</v>
      </c>
    </row>
    <row r="530" spans="1:8" ht="12" customHeight="1" x14ac:dyDescent="0.3">
      <c r="A530" s="13">
        <v>2529</v>
      </c>
      <c r="B530" s="14" t="s">
        <v>148</v>
      </c>
      <c r="C530" s="13" t="s">
        <v>404</v>
      </c>
      <c r="D530" s="13" t="s">
        <v>409</v>
      </c>
      <c r="E530" s="13" t="s">
        <v>412</v>
      </c>
      <c r="F530" s="15">
        <v>4934</v>
      </c>
      <c r="G530" s="15">
        <v>451.3</v>
      </c>
      <c r="H530" s="15">
        <f>Table2[[#This Row],[Profit]]/Table2[[#This Row],[Sales]]</f>
        <v>9.146736927442238E-2</v>
      </c>
    </row>
    <row r="531" spans="1:8" ht="12" customHeight="1" x14ac:dyDescent="0.3">
      <c r="A531" s="13">
        <v>2530</v>
      </c>
      <c r="B531" s="14" t="s">
        <v>217</v>
      </c>
      <c r="C531" s="13" t="s">
        <v>402</v>
      </c>
      <c r="D531" s="13" t="s">
        <v>407</v>
      </c>
      <c r="E531" s="13" t="s">
        <v>413</v>
      </c>
      <c r="F531" s="15">
        <v>3955</v>
      </c>
      <c r="G531" s="15">
        <v>1065.6199999999999</v>
      </c>
      <c r="H531" s="15">
        <f>Table2[[#This Row],[Profit]]/Table2[[#This Row],[Sales]]</f>
        <v>0.26943615676359034</v>
      </c>
    </row>
    <row r="532" spans="1:8" ht="12" customHeight="1" x14ac:dyDescent="0.3">
      <c r="A532" s="13">
        <v>2531</v>
      </c>
      <c r="B532" s="14" t="s">
        <v>309</v>
      </c>
      <c r="C532" s="13" t="s">
        <v>401</v>
      </c>
      <c r="D532" s="13" t="s">
        <v>410</v>
      </c>
      <c r="E532" s="13" t="s">
        <v>413</v>
      </c>
      <c r="F532" s="15">
        <v>27461</v>
      </c>
      <c r="G532" s="15">
        <v>2921.55</v>
      </c>
      <c r="H532" s="15">
        <f>Table2[[#This Row],[Profit]]/Table2[[#This Row],[Sales]]</f>
        <v>0.10638906084993263</v>
      </c>
    </row>
    <row r="533" spans="1:8" ht="12" customHeight="1" x14ac:dyDescent="0.3">
      <c r="A533" s="13">
        <v>2532</v>
      </c>
      <c r="B533" s="14" t="s">
        <v>52</v>
      </c>
      <c r="C533" s="13" t="s">
        <v>402</v>
      </c>
      <c r="D533" s="13" t="s">
        <v>407</v>
      </c>
      <c r="E533" s="13" t="s">
        <v>412</v>
      </c>
      <c r="F533" s="15">
        <v>21126</v>
      </c>
      <c r="G533" s="15">
        <v>3436.21</v>
      </c>
      <c r="H533" s="15">
        <f>Table2[[#This Row],[Profit]]/Table2[[#This Row],[Sales]]</f>
        <v>0.1626531288459718</v>
      </c>
    </row>
    <row r="534" spans="1:8" ht="12" customHeight="1" x14ac:dyDescent="0.3">
      <c r="A534" s="13">
        <v>2533</v>
      </c>
      <c r="B534" s="14" t="s">
        <v>310</v>
      </c>
      <c r="C534" s="13" t="s">
        <v>402</v>
      </c>
      <c r="D534" s="13" t="s">
        <v>409</v>
      </c>
      <c r="E534" s="13" t="s">
        <v>411</v>
      </c>
      <c r="F534" s="15">
        <v>20851</v>
      </c>
      <c r="G534" s="15">
        <v>3313.57</v>
      </c>
      <c r="H534" s="15">
        <f>Table2[[#This Row],[Profit]]/Table2[[#This Row],[Sales]]</f>
        <v>0.15891659872428182</v>
      </c>
    </row>
    <row r="535" spans="1:8" ht="12" customHeight="1" x14ac:dyDescent="0.3">
      <c r="A535" s="13">
        <v>2534</v>
      </c>
      <c r="B535" s="14" t="s">
        <v>241</v>
      </c>
      <c r="C535" s="13" t="s">
        <v>401</v>
      </c>
      <c r="D535" s="13" t="s">
        <v>410</v>
      </c>
      <c r="E535" s="13" t="s">
        <v>413</v>
      </c>
      <c r="F535" s="15">
        <v>24662</v>
      </c>
      <c r="G535" s="15">
        <v>2388.9899999999998</v>
      </c>
      <c r="H535" s="15">
        <f>Table2[[#This Row],[Profit]]/Table2[[#This Row],[Sales]]</f>
        <v>9.6869272565079878E-2</v>
      </c>
    </row>
    <row r="536" spans="1:8" ht="12" customHeight="1" x14ac:dyDescent="0.3">
      <c r="A536" s="13">
        <v>2535</v>
      </c>
      <c r="B536" s="14" t="s">
        <v>311</v>
      </c>
      <c r="C536" s="13" t="s">
        <v>404</v>
      </c>
      <c r="D536" s="13" t="s">
        <v>405</v>
      </c>
      <c r="E536" s="13" t="s">
        <v>413</v>
      </c>
      <c r="F536" s="15">
        <v>14431</v>
      </c>
      <c r="G536" s="15">
        <v>4216.3599999999997</v>
      </c>
      <c r="H536" s="15">
        <f>Table2[[#This Row],[Profit]]/Table2[[#This Row],[Sales]]</f>
        <v>0.29217379252997017</v>
      </c>
    </row>
    <row r="537" spans="1:8" ht="12" customHeight="1" x14ac:dyDescent="0.3">
      <c r="A537" s="13">
        <v>2536</v>
      </c>
      <c r="B537" s="14" t="s">
        <v>312</v>
      </c>
      <c r="C537" s="13" t="s">
        <v>402</v>
      </c>
      <c r="D537" s="13" t="s">
        <v>405</v>
      </c>
      <c r="E537" s="13" t="s">
        <v>413</v>
      </c>
      <c r="F537" s="15">
        <v>27014</v>
      </c>
      <c r="G537" s="15">
        <v>5610.52</v>
      </c>
      <c r="H537" s="15">
        <f>Table2[[#This Row],[Profit]]/Table2[[#This Row],[Sales]]</f>
        <v>0.20768934626489971</v>
      </c>
    </row>
    <row r="538" spans="1:8" ht="12" customHeight="1" x14ac:dyDescent="0.3">
      <c r="A538" s="13">
        <v>2537</v>
      </c>
      <c r="B538" s="14" t="s">
        <v>47</v>
      </c>
      <c r="C538" s="13" t="s">
        <v>402</v>
      </c>
      <c r="D538" s="13" t="s">
        <v>406</v>
      </c>
      <c r="E538" s="13" t="s">
        <v>412</v>
      </c>
      <c r="F538" s="15">
        <v>17441</v>
      </c>
      <c r="G538" s="15">
        <v>4767.83</v>
      </c>
      <c r="H538" s="15">
        <f>Table2[[#This Row],[Profit]]/Table2[[#This Row],[Sales]]</f>
        <v>0.27336907287426182</v>
      </c>
    </row>
    <row r="539" spans="1:8" ht="12" customHeight="1" x14ac:dyDescent="0.3">
      <c r="A539" s="13">
        <v>2538</v>
      </c>
      <c r="B539" s="14" t="s">
        <v>239</v>
      </c>
      <c r="C539" s="13" t="s">
        <v>402</v>
      </c>
      <c r="D539" s="13" t="s">
        <v>407</v>
      </c>
      <c r="E539" s="13" t="s">
        <v>413</v>
      </c>
      <c r="F539" s="15">
        <v>24205</v>
      </c>
      <c r="G539" s="15">
        <v>2565.6999999999998</v>
      </c>
      <c r="H539" s="15">
        <f>Table2[[#This Row],[Profit]]/Table2[[#This Row],[Sales]]</f>
        <v>0.10599876058665564</v>
      </c>
    </row>
    <row r="540" spans="1:8" ht="12" customHeight="1" x14ac:dyDescent="0.3">
      <c r="A540" s="13">
        <v>2539</v>
      </c>
      <c r="B540" s="14" t="s">
        <v>206</v>
      </c>
      <c r="C540" s="13" t="s">
        <v>402</v>
      </c>
      <c r="D540" s="13" t="s">
        <v>406</v>
      </c>
      <c r="E540" s="13" t="s">
        <v>412</v>
      </c>
      <c r="F540" s="15">
        <v>3116</v>
      </c>
      <c r="G540" s="15">
        <v>662.72</v>
      </c>
      <c r="H540" s="15">
        <f>Table2[[#This Row],[Profit]]/Table2[[#This Row],[Sales]]</f>
        <v>0.21268292682926832</v>
      </c>
    </row>
    <row r="541" spans="1:8" ht="12" customHeight="1" x14ac:dyDescent="0.3">
      <c r="A541" s="13">
        <v>2540</v>
      </c>
      <c r="B541" s="14" t="s">
        <v>90</v>
      </c>
      <c r="C541" s="13" t="s">
        <v>402</v>
      </c>
      <c r="D541" s="13" t="s">
        <v>408</v>
      </c>
      <c r="E541" s="13" t="s">
        <v>412</v>
      </c>
      <c r="F541" s="15">
        <v>8252</v>
      </c>
      <c r="G541" s="15">
        <v>1714.96</v>
      </c>
      <c r="H541" s="15">
        <f>Table2[[#This Row],[Profit]]/Table2[[#This Row],[Sales]]</f>
        <v>0.20782355792535143</v>
      </c>
    </row>
    <row r="542" spans="1:8" ht="12" customHeight="1" x14ac:dyDescent="0.3">
      <c r="A542" s="13">
        <v>2541</v>
      </c>
      <c r="B542" s="14" t="s">
        <v>18</v>
      </c>
      <c r="C542" s="13" t="s">
        <v>403</v>
      </c>
      <c r="D542" s="13" t="s">
        <v>407</v>
      </c>
      <c r="E542" s="13" t="s">
        <v>413</v>
      </c>
      <c r="F542" s="15">
        <v>5877</v>
      </c>
      <c r="G542" s="15">
        <v>1736.24</v>
      </c>
      <c r="H542" s="15">
        <f>Table2[[#This Row],[Profit]]/Table2[[#This Row],[Sales]]</f>
        <v>0.29542964097328567</v>
      </c>
    </row>
    <row r="543" spans="1:8" ht="12" customHeight="1" x14ac:dyDescent="0.3">
      <c r="A543" s="13">
        <v>2542</v>
      </c>
      <c r="B543" s="14" t="s">
        <v>306</v>
      </c>
      <c r="C543" s="13" t="s">
        <v>401</v>
      </c>
      <c r="D543" s="13" t="s">
        <v>409</v>
      </c>
      <c r="E543" s="13" t="s">
        <v>411</v>
      </c>
      <c r="F543" s="15">
        <v>10200</v>
      </c>
      <c r="G543" s="15">
        <v>2233.09</v>
      </c>
      <c r="H543" s="15">
        <f>Table2[[#This Row],[Profit]]/Table2[[#This Row],[Sales]]</f>
        <v>0.21893039215686275</v>
      </c>
    </row>
    <row r="544" spans="1:8" ht="12" customHeight="1" x14ac:dyDescent="0.3">
      <c r="A544" s="13">
        <v>2543</v>
      </c>
      <c r="B544" s="14" t="s">
        <v>204</v>
      </c>
      <c r="C544" s="13" t="s">
        <v>404</v>
      </c>
      <c r="D544" s="13" t="s">
        <v>410</v>
      </c>
      <c r="E544" s="13" t="s">
        <v>413</v>
      </c>
      <c r="F544" s="15">
        <v>6451</v>
      </c>
      <c r="G544" s="15">
        <v>632.52</v>
      </c>
      <c r="H544" s="15">
        <f>Table2[[#This Row],[Profit]]/Table2[[#This Row],[Sales]]</f>
        <v>9.8049914741900474E-2</v>
      </c>
    </row>
    <row r="545" spans="1:8" ht="12" customHeight="1" x14ac:dyDescent="0.3">
      <c r="A545" s="13">
        <v>2544</v>
      </c>
      <c r="B545" s="14" t="s">
        <v>257</v>
      </c>
      <c r="C545" s="13" t="s">
        <v>402</v>
      </c>
      <c r="D545" s="13" t="s">
        <v>409</v>
      </c>
      <c r="E545" s="13" t="s">
        <v>412</v>
      </c>
      <c r="F545" s="15">
        <v>25836</v>
      </c>
      <c r="G545" s="15">
        <v>5384.88</v>
      </c>
      <c r="H545" s="15">
        <f>Table2[[#This Row],[Profit]]/Table2[[#This Row],[Sales]]</f>
        <v>0.20842545285647934</v>
      </c>
    </row>
    <row r="546" spans="1:8" ht="12" customHeight="1" x14ac:dyDescent="0.3">
      <c r="A546" s="13">
        <v>2545</v>
      </c>
      <c r="B546" s="14" t="s">
        <v>313</v>
      </c>
      <c r="C546" s="13" t="s">
        <v>401</v>
      </c>
      <c r="D546" s="13" t="s">
        <v>406</v>
      </c>
      <c r="E546" s="13" t="s">
        <v>411</v>
      </c>
      <c r="F546" s="15">
        <v>28675</v>
      </c>
      <c r="G546" s="15">
        <v>7097.11</v>
      </c>
      <c r="H546" s="15">
        <f>Table2[[#This Row],[Profit]]/Table2[[#This Row],[Sales]]</f>
        <v>0.24750165649520486</v>
      </c>
    </row>
    <row r="547" spans="1:8" ht="12" customHeight="1" x14ac:dyDescent="0.3">
      <c r="A547" s="13">
        <v>2546</v>
      </c>
      <c r="B547" s="14" t="s">
        <v>314</v>
      </c>
      <c r="C547" s="13" t="s">
        <v>401</v>
      </c>
      <c r="D547" s="13" t="s">
        <v>405</v>
      </c>
      <c r="E547" s="13" t="s">
        <v>412</v>
      </c>
      <c r="F547" s="15">
        <v>10818</v>
      </c>
      <c r="G547" s="15">
        <v>1160.47</v>
      </c>
      <c r="H547" s="15">
        <f>Table2[[#This Row],[Profit]]/Table2[[#This Row],[Sales]]</f>
        <v>0.10727213902754669</v>
      </c>
    </row>
    <row r="548" spans="1:8" ht="12" customHeight="1" x14ac:dyDescent="0.3">
      <c r="A548" s="13">
        <v>2547</v>
      </c>
      <c r="B548" s="14" t="s">
        <v>175</v>
      </c>
      <c r="C548" s="13" t="s">
        <v>402</v>
      </c>
      <c r="D548" s="13" t="s">
        <v>407</v>
      </c>
      <c r="E548" s="13" t="s">
        <v>411</v>
      </c>
      <c r="F548" s="15">
        <v>18553</v>
      </c>
      <c r="G548" s="15">
        <v>5533.11</v>
      </c>
      <c r="H548" s="15">
        <f>Table2[[#This Row],[Profit]]/Table2[[#This Row],[Sales]]</f>
        <v>0.29823263084137336</v>
      </c>
    </row>
    <row r="549" spans="1:8" ht="12" customHeight="1" x14ac:dyDescent="0.3">
      <c r="A549" s="13">
        <v>2548</v>
      </c>
      <c r="B549" s="14" t="s">
        <v>141</v>
      </c>
      <c r="C549" s="13" t="s">
        <v>403</v>
      </c>
      <c r="D549" s="13" t="s">
        <v>407</v>
      </c>
      <c r="E549" s="13" t="s">
        <v>411</v>
      </c>
      <c r="F549" s="15">
        <v>11724</v>
      </c>
      <c r="G549" s="15">
        <v>3087.26</v>
      </c>
      <c r="H549" s="15">
        <f>Table2[[#This Row],[Profit]]/Table2[[#This Row],[Sales]]</f>
        <v>0.26332821562606623</v>
      </c>
    </row>
    <row r="550" spans="1:8" ht="12" customHeight="1" x14ac:dyDescent="0.3">
      <c r="A550" s="13">
        <v>2549</v>
      </c>
      <c r="B550" s="14" t="s">
        <v>174</v>
      </c>
      <c r="C550" s="13" t="s">
        <v>401</v>
      </c>
      <c r="D550" s="13" t="s">
        <v>407</v>
      </c>
      <c r="E550" s="13" t="s">
        <v>412</v>
      </c>
      <c r="F550" s="15">
        <v>26185</v>
      </c>
      <c r="G550" s="15">
        <v>4991.17</v>
      </c>
      <c r="H550" s="15">
        <f>Table2[[#This Row],[Profit]]/Table2[[#This Row],[Sales]]</f>
        <v>0.19061180064922667</v>
      </c>
    </row>
    <row r="551" spans="1:8" ht="12" customHeight="1" x14ac:dyDescent="0.3">
      <c r="A551" s="13">
        <v>2550</v>
      </c>
      <c r="B551" s="14" t="s">
        <v>251</v>
      </c>
      <c r="C551" s="13" t="s">
        <v>401</v>
      </c>
      <c r="D551" s="13" t="s">
        <v>405</v>
      </c>
      <c r="E551" s="13" t="s">
        <v>412</v>
      </c>
      <c r="F551" s="15">
        <v>25482</v>
      </c>
      <c r="G551" s="15">
        <v>3816.64</v>
      </c>
      <c r="H551" s="15">
        <f>Table2[[#This Row],[Profit]]/Table2[[#This Row],[Sales]]</f>
        <v>0.14977788242681109</v>
      </c>
    </row>
    <row r="552" spans="1:8" ht="12" customHeight="1" x14ac:dyDescent="0.3">
      <c r="A552" s="13">
        <v>2551</v>
      </c>
      <c r="B552" s="14" t="s">
        <v>315</v>
      </c>
      <c r="C552" s="13" t="s">
        <v>403</v>
      </c>
      <c r="D552" s="13" t="s">
        <v>407</v>
      </c>
      <c r="E552" s="13" t="s">
        <v>411</v>
      </c>
      <c r="F552" s="15">
        <v>29931</v>
      </c>
      <c r="G552" s="15">
        <v>2784.35</v>
      </c>
      <c r="H552" s="15">
        <f>Table2[[#This Row],[Profit]]/Table2[[#This Row],[Sales]]</f>
        <v>9.302562560555945E-2</v>
      </c>
    </row>
    <row r="553" spans="1:8" ht="12" customHeight="1" x14ac:dyDescent="0.3">
      <c r="A553" s="13">
        <v>2552</v>
      </c>
      <c r="B553" s="14" t="s">
        <v>190</v>
      </c>
      <c r="C553" s="13" t="s">
        <v>403</v>
      </c>
      <c r="D553" s="13" t="s">
        <v>409</v>
      </c>
      <c r="E553" s="13" t="s">
        <v>411</v>
      </c>
      <c r="F553" s="15">
        <v>28623</v>
      </c>
      <c r="G553" s="15">
        <v>5112.83</v>
      </c>
      <c r="H553" s="15">
        <f>Table2[[#This Row],[Profit]]/Table2[[#This Row],[Sales]]</f>
        <v>0.17862662893477274</v>
      </c>
    </row>
    <row r="554" spans="1:8" ht="12" customHeight="1" x14ac:dyDescent="0.3">
      <c r="A554" s="13">
        <v>2553</v>
      </c>
      <c r="B554" s="14" t="s">
        <v>150</v>
      </c>
      <c r="C554" s="13" t="s">
        <v>401</v>
      </c>
      <c r="D554" s="13" t="s">
        <v>407</v>
      </c>
      <c r="E554" s="13" t="s">
        <v>412</v>
      </c>
      <c r="F554" s="15">
        <v>3362</v>
      </c>
      <c r="G554" s="15">
        <v>633.58000000000004</v>
      </c>
      <c r="H554" s="15">
        <f>Table2[[#This Row],[Profit]]/Table2[[#This Row],[Sales]]</f>
        <v>0.18845330160618681</v>
      </c>
    </row>
    <row r="555" spans="1:8" ht="12" customHeight="1" x14ac:dyDescent="0.3">
      <c r="A555" s="13">
        <v>2554</v>
      </c>
      <c r="B555" s="14" t="s">
        <v>211</v>
      </c>
      <c r="C555" s="13" t="s">
        <v>402</v>
      </c>
      <c r="D555" s="13" t="s">
        <v>409</v>
      </c>
      <c r="E555" s="13" t="s">
        <v>413</v>
      </c>
      <c r="F555" s="15">
        <v>11054</v>
      </c>
      <c r="G555" s="15">
        <v>2804.48</v>
      </c>
      <c r="H555" s="15">
        <f>Table2[[#This Row],[Profit]]/Table2[[#This Row],[Sales]]</f>
        <v>0.25370725529220189</v>
      </c>
    </row>
    <row r="556" spans="1:8" ht="12" customHeight="1" x14ac:dyDescent="0.3">
      <c r="A556" s="13">
        <v>2555</v>
      </c>
      <c r="B556" s="14" t="s">
        <v>108</v>
      </c>
      <c r="C556" s="13" t="s">
        <v>403</v>
      </c>
      <c r="D556" s="13" t="s">
        <v>408</v>
      </c>
      <c r="E556" s="13" t="s">
        <v>413</v>
      </c>
      <c r="F556" s="15">
        <v>23493</v>
      </c>
      <c r="G556" s="15">
        <v>5004.7700000000004</v>
      </c>
      <c r="H556" s="15">
        <f>Table2[[#This Row],[Profit]]/Table2[[#This Row],[Sales]]</f>
        <v>0.21303239262759122</v>
      </c>
    </row>
    <row r="557" spans="1:8" ht="12" customHeight="1" x14ac:dyDescent="0.3">
      <c r="A557" s="13">
        <v>2556</v>
      </c>
      <c r="B557" s="14" t="s">
        <v>19</v>
      </c>
      <c r="C557" s="13" t="s">
        <v>403</v>
      </c>
      <c r="D557" s="13" t="s">
        <v>406</v>
      </c>
      <c r="E557" s="13" t="s">
        <v>412</v>
      </c>
      <c r="F557" s="15">
        <v>16097</v>
      </c>
      <c r="G557" s="15">
        <v>4410.43</v>
      </c>
      <c r="H557" s="15">
        <f>Table2[[#This Row],[Profit]]/Table2[[#This Row],[Sales]]</f>
        <v>0.27399080574020007</v>
      </c>
    </row>
    <row r="558" spans="1:8" ht="12" customHeight="1" x14ac:dyDescent="0.3">
      <c r="A558" s="13">
        <v>2557</v>
      </c>
      <c r="B558" s="14" t="s">
        <v>42</v>
      </c>
      <c r="C558" s="13" t="s">
        <v>402</v>
      </c>
      <c r="D558" s="13" t="s">
        <v>408</v>
      </c>
      <c r="E558" s="13" t="s">
        <v>413</v>
      </c>
      <c r="F558" s="15">
        <v>26823</v>
      </c>
      <c r="G558" s="15">
        <v>3961.46</v>
      </c>
      <c r="H558" s="15">
        <f>Table2[[#This Row],[Profit]]/Table2[[#This Row],[Sales]]</f>
        <v>0.14768892368489728</v>
      </c>
    </row>
    <row r="559" spans="1:8" ht="12" customHeight="1" x14ac:dyDescent="0.3">
      <c r="A559" s="13">
        <v>2558</v>
      </c>
      <c r="B559" s="14" t="s">
        <v>29</v>
      </c>
      <c r="C559" s="13" t="s">
        <v>402</v>
      </c>
      <c r="D559" s="13" t="s">
        <v>409</v>
      </c>
      <c r="E559" s="13" t="s">
        <v>411</v>
      </c>
      <c r="F559" s="15">
        <v>26447</v>
      </c>
      <c r="G559" s="15">
        <v>3925.48</v>
      </c>
      <c r="H559" s="15">
        <f>Table2[[#This Row],[Profit]]/Table2[[#This Row],[Sales]]</f>
        <v>0.14842817710893486</v>
      </c>
    </row>
    <row r="560" spans="1:8" ht="12" customHeight="1" x14ac:dyDescent="0.3">
      <c r="A560" s="13">
        <v>2559</v>
      </c>
      <c r="B560" s="14" t="s">
        <v>58</v>
      </c>
      <c r="C560" s="13" t="s">
        <v>403</v>
      </c>
      <c r="D560" s="13" t="s">
        <v>407</v>
      </c>
      <c r="E560" s="13" t="s">
        <v>411</v>
      </c>
      <c r="F560" s="15">
        <v>5807</v>
      </c>
      <c r="G560" s="15">
        <v>1728.85</v>
      </c>
      <c r="H560" s="15">
        <f>Table2[[#This Row],[Profit]]/Table2[[#This Row],[Sales]]</f>
        <v>0.29771827105217841</v>
      </c>
    </row>
    <row r="561" spans="1:8" ht="12" customHeight="1" x14ac:dyDescent="0.3">
      <c r="A561" s="13">
        <v>2560</v>
      </c>
      <c r="B561" s="14" t="s">
        <v>309</v>
      </c>
      <c r="C561" s="13" t="s">
        <v>401</v>
      </c>
      <c r="D561" s="13" t="s">
        <v>410</v>
      </c>
      <c r="E561" s="13" t="s">
        <v>413</v>
      </c>
      <c r="F561" s="15">
        <v>29132</v>
      </c>
      <c r="G561" s="15">
        <v>3207.58</v>
      </c>
      <c r="H561" s="15">
        <f>Table2[[#This Row],[Profit]]/Table2[[#This Row],[Sales]]</f>
        <v>0.11010503913222573</v>
      </c>
    </row>
    <row r="562" spans="1:8" ht="12" customHeight="1" x14ac:dyDescent="0.3">
      <c r="A562" s="13">
        <v>2561</v>
      </c>
      <c r="B562" s="14" t="s">
        <v>84</v>
      </c>
      <c r="C562" s="13" t="s">
        <v>402</v>
      </c>
      <c r="D562" s="13" t="s">
        <v>408</v>
      </c>
      <c r="E562" s="13" t="s">
        <v>411</v>
      </c>
      <c r="F562" s="15">
        <v>23577</v>
      </c>
      <c r="G562" s="15">
        <v>4043.18</v>
      </c>
      <c r="H562" s="15">
        <f>Table2[[#This Row],[Profit]]/Table2[[#This Row],[Sales]]</f>
        <v>0.17148831488314883</v>
      </c>
    </row>
    <row r="563" spans="1:8" ht="12" customHeight="1" x14ac:dyDescent="0.3">
      <c r="A563" s="13">
        <v>2562</v>
      </c>
      <c r="B563" s="14" t="s">
        <v>316</v>
      </c>
      <c r="C563" s="13" t="s">
        <v>402</v>
      </c>
      <c r="D563" s="13" t="s">
        <v>410</v>
      </c>
      <c r="E563" s="13" t="s">
        <v>413</v>
      </c>
      <c r="F563" s="15">
        <v>17078</v>
      </c>
      <c r="G563" s="15">
        <v>4708.1499999999996</v>
      </c>
      <c r="H563" s="15">
        <f>Table2[[#This Row],[Profit]]/Table2[[#This Row],[Sales]]</f>
        <v>0.27568509193113944</v>
      </c>
    </row>
    <row r="564" spans="1:8" ht="12" customHeight="1" x14ac:dyDescent="0.3">
      <c r="A564" s="13">
        <v>2563</v>
      </c>
      <c r="B564" s="14" t="s">
        <v>172</v>
      </c>
      <c r="C564" s="13" t="s">
        <v>401</v>
      </c>
      <c r="D564" s="13" t="s">
        <v>406</v>
      </c>
      <c r="E564" s="13" t="s">
        <v>412</v>
      </c>
      <c r="F564" s="15">
        <v>24129</v>
      </c>
      <c r="G564" s="15">
        <v>4691.26</v>
      </c>
      <c r="H564" s="15">
        <f>Table2[[#This Row],[Profit]]/Table2[[#This Row],[Sales]]</f>
        <v>0.19442413693066435</v>
      </c>
    </row>
    <row r="565" spans="1:8" ht="12" customHeight="1" x14ac:dyDescent="0.3">
      <c r="A565" s="13">
        <v>2564</v>
      </c>
      <c r="B565" s="14" t="s">
        <v>317</v>
      </c>
      <c r="C565" s="13" t="s">
        <v>401</v>
      </c>
      <c r="D565" s="13" t="s">
        <v>407</v>
      </c>
      <c r="E565" s="13" t="s">
        <v>411</v>
      </c>
      <c r="F565" s="15">
        <v>16571</v>
      </c>
      <c r="G565" s="15">
        <v>3581.6</v>
      </c>
      <c r="H565" s="15">
        <f>Table2[[#This Row],[Profit]]/Table2[[#This Row],[Sales]]</f>
        <v>0.21613662422304025</v>
      </c>
    </row>
    <row r="566" spans="1:8" ht="12" customHeight="1" x14ac:dyDescent="0.3">
      <c r="A566" s="13">
        <v>2565</v>
      </c>
      <c r="B566" s="14" t="s">
        <v>144</v>
      </c>
      <c r="C566" s="13" t="s">
        <v>402</v>
      </c>
      <c r="D566" s="13" t="s">
        <v>409</v>
      </c>
      <c r="E566" s="13" t="s">
        <v>411</v>
      </c>
      <c r="F566" s="15">
        <v>12477</v>
      </c>
      <c r="G566" s="15">
        <v>2016.39</v>
      </c>
      <c r="H566" s="15">
        <f>Table2[[#This Row],[Profit]]/Table2[[#This Row],[Sales]]</f>
        <v>0.1616085597499399</v>
      </c>
    </row>
    <row r="567" spans="1:8" ht="12" customHeight="1" x14ac:dyDescent="0.3">
      <c r="A567" s="13">
        <v>2566</v>
      </c>
      <c r="B567" s="14" t="s">
        <v>43</v>
      </c>
      <c r="C567" s="13" t="s">
        <v>402</v>
      </c>
      <c r="D567" s="13" t="s">
        <v>407</v>
      </c>
      <c r="E567" s="13" t="s">
        <v>412</v>
      </c>
      <c r="F567" s="15">
        <v>11657</v>
      </c>
      <c r="G567" s="15">
        <v>1555.21</v>
      </c>
      <c r="H567" s="15">
        <f>Table2[[#This Row],[Profit]]/Table2[[#This Row],[Sales]]</f>
        <v>0.13341425752766578</v>
      </c>
    </row>
    <row r="568" spans="1:8" ht="12" customHeight="1" x14ac:dyDescent="0.3">
      <c r="A568" s="13">
        <v>2567</v>
      </c>
      <c r="B568" s="14" t="s">
        <v>318</v>
      </c>
      <c r="C568" s="13" t="s">
        <v>402</v>
      </c>
      <c r="D568" s="13" t="s">
        <v>405</v>
      </c>
      <c r="E568" s="13" t="s">
        <v>413</v>
      </c>
      <c r="F568" s="15">
        <v>26761</v>
      </c>
      <c r="G568" s="15">
        <v>4759.0600000000004</v>
      </c>
      <c r="H568" s="15">
        <f>Table2[[#This Row],[Profit]]/Table2[[#This Row],[Sales]]</f>
        <v>0.17783565636560669</v>
      </c>
    </row>
    <row r="569" spans="1:8" ht="12" customHeight="1" x14ac:dyDescent="0.3">
      <c r="A569" s="13">
        <v>2568</v>
      </c>
      <c r="B569" s="14" t="s">
        <v>319</v>
      </c>
      <c r="C569" s="13" t="s">
        <v>402</v>
      </c>
      <c r="D569" s="13" t="s">
        <v>406</v>
      </c>
      <c r="E569" s="13" t="s">
        <v>412</v>
      </c>
      <c r="F569" s="15">
        <v>29915</v>
      </c>
      <c r="G569" s="15">
        <v>3672.34</v>
      </c>
      <c r="H569" s="15">
        <f>Table2[[#This Row],[Profit]]/Table2[[#This Row],[Sales]]</f>
        <v>0.12275915092762829</v>
      </c>
    </row>
    <row r="570" spans="1:8" ht="12" customHeight="1" x14ac:dyDescent="0.3">
      <c r="A570" s="13">
        <v>2569</v>
      </c>
      <c r="B570" s="14" t="s">
        <v>320</v>
      </c>
      <c r="C570" s="13" t="s">
        <v>403</v>
      </c>
      <c r="D570" s="13" t="s">
        <v>407</v>
      </c>
      <c r="E570" s="13" t="s">
        <v>411</v>
      </c>
      <c r="F570" s="15">
        <v>8737</v>
      </c>
      <c r="G570" s="15">
        <v>791.14</v>
      </c>
      <c r="H570" s="15">
        <f>Table2[[#This Row],[Profit]]/Table2[[#This Row],[Sales]]</f>
        <v>9.0550532219297236E-2</v>
      </c>
    </row>
    <row r="571" spans="1:8" ht="12" customHeight="1" x14ac:dyDescent="0.3">
      <c r="A571" s="13">
        <v>2570</v>
      </c>
      <c r="B571" s="14" t="s">
        <v>165</v>
      </c>
      <c r="C571" s="13" t="s">
        <v>402</v>
      </c>
      <c r="D571" s="13" t="s">
        <v>405</v>
      </c>
      <c r="E571" s="13" t="s">
        <v>412</v>
      </c>
      <c r="F571" s="15">
        <v>24210</v>
      </c>
      <c r="G571" s="15">
        <v>6710.32</v>
      </c>
      <c r="H571" s="15">
        <f>Table2[[#This Row],[Profit]]/Table2[[#This Row],[Sales]]</f>
        <v>0.27717141676992979</v>
      </c>
    </row>
    <row r="572" spans="1:8" ht="12" customHeight="1" x14ac:dyDescent="0.3">
      <c r="A572" s="13">
        <v>2571</v>
      </c>
      <c r="B572" s="14" t="s">
        <v>61</v>
      </c>
      <c r="C572" s="13" t="s">
        <v>402</v>
      </c>
      <c r="D572" s="13" t="s">
        <v>409</v>
      </c>
      <c r="E572" s="13" t="s">
        <v>412</v>
      </c>
      <c r="F572" s="15">
        <v>17857</v>
      </c>
      <c r="G572" s="15">
        <v>4058.58</v>
      </c>
      <c r="H572" s="15">
        <f>Table2[[#This Row],[Profit]]/Table2[[#This Row],[Sales]]</f>
        <v>0.22728229825838606</v>
      </c>
    </row>
    <row r="573" spans="1:8" ht="12" customHeight="1" x14ac:dyDescent="0.3">
      <c r="A573" s="13">
        <v>2572</v>
      </c>
      <c r="B573" s="14" t="s">
        <v>321</v>
      </c>
      <c r="C573" s="13" t="s">
        <v>402</v>
      </c>
      <c r="D573" s="13" t="s">
        <v>407</v>
      </c>
      <c r="E573" s="13" t="s">
        <v>411</v>
      </c>
      <c r="F573" s="15">
        <v>26209</v>
      </c>
      <c r="G573" s="15">
        <v>7848.35</v>
      </c>
      <c r="H573" s="15">
        <f>Table2[[#This Row],[Profit]]/Table2[[#This Row],[Sales]]</f>
        <v>0.2994524781563585</v>
      </c>
    </row>
    <row r="574" spans="1:8" ht="12" customHeight="1" x14ac:dyDescent="0.3">
      <c r="A574" s="13">
        <v>2573</v>
      </c>
      <c r="B574" s="14" t="s">
        <v>322</v>
      </c>
      <c r="C574" s="13" t="s">
        <v>402</v>
      </c>
      <c r="D574" s="13" t="s">
        <v>408</v>
      </c>
      <c r="E574" s="13" t="s">
        <v>412</v>
      </c>
      <c r="F574" s="15">
        <v>19123</v>
      </c>
      <c r="G574" s="15">
        <v>3124.4</v>
      </c>
      <c r="H574" s="15">
        <f>Table2[[#This Row],[Profit]]/Table2[[#This Row],[Sales]]</f>
        <v>0.16338440621241437</v>
      </c>
    </row>
    <row r="575" spans="1:8" ht="12" customHeight="1" x14ac:dyDescent="0.3">
      <c r="A575" s="13">
        <v>2574</v>
      </c>
      <c r="B575" s="14" t="s">
        <v>323</v>
      </c>
      <c r="C575" s="13" t="s">
        <v>402</v>
      </c>
      <c r="D575" s="13" t="s">
        <v>410</v>
      </c>
      <c r="E575" s="13" t="s">
        <v>411</v>
      </c>
      <c r="F575" s="15">
        <v>21131</v>
      </c>
      <c r="G575" s="15">
        <v>5981.61</v>
      </c>
      <c r="H575" s="15">
        <f>Table2[[#This Row],[Profit]]/Table2[[#This Row],[Sales]]</f>
        <v>0.28307273673749467</v>
      </c>
    </row>
    <row r="576" spans="1:8" ht="12" customHeight="1" x14ac:dyDescent="0.3">
      <c r="A576" s="13">
        <v>2575</v>
      </c>
      <c r="B576" s="14" t="s">
        <v>257</v>
      </c>
      <c r="C576" s="13" t="s">
        <v>402</v>
      </c>
      <c r="D576" s="13" t="s">
        <v>405</v>
      </c>
      <c r="E576" s="13" t="s">
        <v>412</v>
      </c>
      <c r="F576" s="15">
        <v>25365</v>
      </c>
      <c r="G576" s="15">
        <v>3072.22</v>
      </c>
      <c r="H576" s="15">
        <f>Table2[[#This Row],[Profit]]/Table2[[#This Row],[Sales]]</f>
        <v>0.1211204415533215</v>
      </c>
    </row>
    <row r="577" spans="1:8" ht="12" customHeight="1" x14ac:dyDescent="0.3">
      <c r="A577" s="13">
        <v>2576</v>
      </c>
      <c r="B577" s="14" t="s">
        <v>259</v>
      </c>
      <c r="C577" s="13" t="s">
        <v>402</v>
      </c>
      <c r="D577" s="13" t="s">
        <v>406</v>
      </c>
      <c r="E577" s="13" t="s">
        <v>411</v>
      </c>
      <c r="F577" s="15">
        <v>10372</v>
      </c>
      <c r="G577" s="15">
        <v>2811.93</v>
      </c>
      <c r="H577" s="15">
        <f>Table2[[#This Row],[Profit]]/Table2[[#This Row],[Sales]]</f>
        <v>0.27110779020439646</v>
      </c>
    </row>
    <row r="578" spans="1:8" ht="12" customHeight="1" x14ac:dyDescent="0.3">
      <c r="A578" s="13">
        <v>2577</v>
      </c>
      <c r="B578" s="14" t="s">
        <v>207</v>
      </c>
      <c r="C578" s="13" t="s">
        <v>402</v>
      </c>
      <c r="D578" s="13" t="s">
        <v>410</v>
      </c>
      <c r="E578" s="13" t="s">
        <v>411</v>
      </c>
      <c r="F578" s="15">
        <v>10336</v>
      </c>
      <c r="G578" s="15">
        <v>2386.0100000000002</v>
      </c>
      <c r="H578" s="15">
        <f>Table2[[#This Row],[Profit]]/Table2[[#This Row],[Sales]]</f>
        <v>0.23084462074303408</v>
      </c>
    </row>
    <row r="579" spans="1:8" ht="12" customHeight="1" x14ac:dyDescent="0.3">
      <c r="A579" s="13">
        <v>2578</v>
      </c>
      <c r="B579" s="14" t="s">
        <v>33</v>
      </c>
      <c r="C579" s="13" t="s">
        <v>404</v>
      </c>
      <c r="D579" s="13" t="s">
        <v>407</v>
      </c>
      <c r="E579" s="13" t="s">
        <v>413</v>
      </c>
      <c r="F579" s="15">
        <v>29251</v>
      </c>
      <c r="G579" s="15">
        <v>7990.59</v>
      </c>
      <c r="H579" s="15">
        <f>Table2[[#This Row],[Profit]]/Table2[[#This Row],[Sales]]</f>
        <v>0.27317322484701378</v>
      </c>
    </row>
    <row r="580" spans="1:8" ht="12" customHeight="1" x14ac:dyDescent="0.3">
      <c r="A580" s="13">
        <v>2579</v>
      </c>
      <c r="B580" s="14" t="s">
        <v>29</v>
      </c>
      <c r="C580" s="13" t="s">
        <v>403</v>
      </c>
      <c r="D580" s="13" t="s">
        <v>405</v>
      </c>
      <c r="E580" s="13" t="s">
        <v>413</v>
      </c>
      <c r="F580" s="15">
        <v>2795</v>
      </c>
      <c r="G580" s="15">
        <v>276.88</v>
      </c>
      <c r="H580" s="15">
        <f>Table2[[#This Row],[Profit]]/Table2[[#This Row],[Sales]]</f>
        <v>9.9062611806797846E-2</v>
      </c>
    </row>
    <row r="581" spans="1:8" ht="12" customHeight="1" x14ac:dyDescent="0.3">
      <c r="A581" s="13">
        <v>2580</v>
      </c>
      <c r="B581" s="14" t="s">
        <v>324</v>
      </c>
      <c r="C581" s="13" t="s">
        <v>401</v>
      </c>
      <c r="D581" s="13" t="s">
        <v>410</v>
      </c>
      <c r="E581" s="13" t="s">
        <v>412</v>
      </c>
      <c r="F581" s="15">
        <v>5882</v>
      </c>
      <c r="G581" s="15">
        <v>488.9</v>
      </c>
      <c r="H581" s="15">
        <f>Table2[[#This Row],[Profit]]/Table2[[#This Row],[Sales]]</f>
        <v>8.3117987079224756E-2</v>
      </c>
    </row>
    <row r="582" spans="1:8" ht="12" customHeight="1" x14ac:dyDescent="0.3">
      <c r="A582" s="13">
        <v>2581</v>
      </c>
      <c r="B582" s="14" t="s">
        <v>122</v>
      </c>
      <c r="C582" s="13" t="s">
        <v>403</v>
      </c>
      <c r="D582" s="13" t="s">
        <v>410</v>
      </c>
      <c r="E582" s="13" t="s">
        <v>411</v>
      </c>
      <c r="F582" s="15">
        <v>17768</v>
      </c>
      <c r="G582" s="15">
        <v>3471.66</v>
      </c>
      <c r="H582" s="15">
        <f>Table2[[#This Row],[Profit]]/Table2[[#This Row],[Sales]]</f>
        <v>0.19538833858622243</v>
      </c>
    </row>
    <row r="583" spans="1:8" ht="12" customHeight="1" x14ac:dyDescent="0.3">
      <c r="A583" s="13">
        <v>2582</v>
      </c>
      <c r="B583" s="14" t="s">
        <v>325</v>
      </c>
      <c r="C583" s="13" t="s">
        <v>403</v>
      </c>
      <c r="D583" s="13" t="s">
        <v>408</v>
      </c>
      <c r="E583" s="13" t="s">
        <v>412</v>
      </c>
      <c r="F583" s="15">
        <v>16228</v>
      </c>
      <c r="G583" s="15">
        <v>2724.53</v>
      </c>
      <c r="H583" s="15">
        <f>Table2[[#This Row],[Profit]]/Table2[[#This Row],[Sales]]</f>
        <v>0.16789068277052011</v>
      </c>
    </row>
    <row r="584" spans="1:8" ht="12" customHeight="1" x14ac:dyDescent="0.3">
      <c r="A584" s="13">
        <v>2583</v>
      </c>
      <c r="B584" s="14" t="s">
        <v>326</v>
      </c>
      <c r="C584" s="13" t="s">
        <v>402</v>
      </c>
      <c r="D584" s="13" t="s">
        <v>408</v>
      </c>
      <c r="E584" s="13" t="s">
        <v>413</v>
      </c>
      <c r="F584" s="15">
        <v>9295</v>
      </c>
      <c r="G584" s="15">
        <v>1600.49</v>
      </c>
      <c r="H584" s="15">
        <f>Table2[[#This Row],[Profit]]/Table2[[#This Row],[Sales]]</f>
        <v>0.17218827326519634</v>
      </c>
    </row>
    <row r="585" spans="1:8" ht="12" customHeight="1" x14ac:dyDescent="0.3">
      <c r="A585" s="13">
        <v>2584</v>
      </c>
      <c r="B585" s="14" t="s">
        <v>142</v>
      </c>
      <c r="C585" s="13" t="s">
        <v>402</v>
      </c>
      <c r="D585" s="13" t="s">
        <v>409</v>
      </c>
      <c r="E585" s="13" t="s">
        <v>413</v>
      </c>
      <c r="F585" s="15">
        <v>19138</v>
      </c>
      <c r="G585" s="15">
        <v>2874.37</v>
      </c>
      <c r="H585" s="15">
        <f>Table2[[#This Row],[Profit]]/Table2[[#This Row],[Sales]]</f>
        <v>0.15019176507472046</v>
      </c>
    </row>
    <row r="586" spans="1:8" ht="12" customHeight="1" x14ac:dyDescent="0.3">
      <c r="A586" s="13">
        <v>2585</v>
      </c>
      <c r="B586" s="14" t="s">
        <v>258</v>
      </c>
      <c r="C586" s="13" t="s">
        <v>403</v>
      </c>
      <c r="D586" s="13" t="s">
        <v>407</v>
      </c>
      <c r="E586" s="13" t="s">
        <v>413</v>
      </c>
      <c r="F586" s="15">
        <v>29459</v>
      </c>
      <c r="G586" s="15">
        <v>7139.36</v>
      </c>
      <c r="H586" s="15">
        <f>Table2[[#This Row],[Profit]]/Table2[[#This Row],[Sales]]</f>
        <v>0.24234902746189618</v>
      </c>
    </row>
    <row r="587" spans="1:8" ht="12" customHeight="1" x14ac:dyDescent="0.3">
      <c r="A587" s="13">
        <v>2586</v>
      </c>
      <c r="B587" s="14" t="s">
        <v>327</v>
      </c>
      <c r="C587" s="13" t="s">
        <v>402</v>
      </c>
      <c r="D587" s="13" t="s">
        <v>409</v>
      </c>
      <c r="E587" s="13" t="s">
        <v>411</v>
      </c>
      <c r="F587" s="15">
        <v>8993</v>
      </c>
      <c r="G587" s="15">
        <v>2539.91</v>
      </c>
      <c r="H587" s="15">
        <f>Table2[[#This Row],[Profit]]/Table2[[#This Row],[Sales]]</f>
        <v>0.28243189147114423</v>
      </c>
    </row>
    <row r="588" spans="1:8" ht="12" customHeight="1" x14ac:dyDescent="0.3">
      <c r="A588" s="13">
        <v>2587</v>
      </c>
      <c r="B588" s="14" t="s">
        <v>46</v>
      </c>
      <c r="C588" s="13" t="s">
        <v>401</v>
      </c>
      <c r="D588" s="13" t="s">
        <v>405</v>
      </c>
      <c r="E588" s="13" t="s">
        <v>411</v>
      </c>
      <c r="F588" s="15">
        <v>23885</v>
      </c>
      <c r="G588" s="15">
        <v>6805.43</v>
      </c>
      <c r="H588" s="15">
        <f>Table2[[#This Row],[Profit]]/Table2[[#This Row],[Sales]]</f>
        <v>0.28492484823110742</v>
      </c>
    </row>
    <row r="589" spans="1:8" ht="12" customHeight="1" x14ac:dyDescent="0.3">
      <c r="A589" s="13">
        <v>2588</v>
      </c>
      <c r="B589" s="14" t="s">
        <v>328</v>
      </c>
      <c r="C589" s="13" t="s">
        <v>402</v>
      </c>
      <c r="D589" s="13" t="s">
        <v>407</v>
      </c>
      <c r="E589" s="13" t="s">
        <v>411</v>
      </c>
      <c r="F589" s="15">
        <v>14688</v>
      </c>
      <c r="G589" s="15">
        <v>3089.9</v>
      </c>
      <c r="H589" s="15">
        <f>Table2[[#This Row],[Profit]]/Table2[[#This Row],[Sales]]</f>
        <v>0.21036900871459696</v>
      </c>
    </row>
    <row r="590" spans="1:8" ht="12" customHeight="1" x14ac:dyDescent="0.3">
      <c r="A590" s="13">
        <v>2589</v>
      </c>
      <c r="B590" s="14" t="s">
        <v>329</v>
      </c>
      <c r="C590" s="13" t="s">
        <v>401</v>
      </c>
      <c r="D590" s="13" t="s">
        <v>406</v>
      </c>
      <c r="E590" s="13" t="s">
        <v>413</v>
      </c>
      <c r="F590" s="15">
        <v>17216</v>
      </c>
      <c r="G590" s="15">
        <v>3616.89</v>
      </c>
      <c r="H590" s="15">
        <f>Table2[[#This Row],[Profit]]/Table2[[#This Row],[Sales]]</f>
        <v>0.21008887081784386</v>
      </c>
    </row>
    <row r="591" spans="1:8" ht="12" customHeight="1" x14ac:dyDescent="0.3">
      <c r="A591" s="13">
        <v>2590</v>
      </c>
      <c r="B591" s="14" t="s">
        <v>330</v>
      </c>
      <c r="C591" s="13" t="s">
        <v>402</v>
      </c>
      <c r="D591" s="13" t="s">
        <v>405</v>
      </c>
      <c r="E591" s="13" t="s">
        <v>411</v>
      </c>
      <c r="F591" s="15">
        <v>14749</v>
      </c>
      <c r="G591" s="15">
        <v>2066.83</v>
      </c>
      <c r="H591" s="15">
        <f>Table2[[#This Row],[Profit]]/Table2[[#This Row],[Sales]]</f>
        <v>0.14013356837751711</v>
      </c>
    </row>
    <row r="592" spans="1:8" ht="12" customHeight="1" x14ac:dyDescent="0.3">
      <c r="A592" s="13">
        <v>2591</v>
      </c>
      <c r="B592" s="14" t="s">
        <v>273</v>
      </c>
      <c r="C592" s="13" t="s">
        <v>402</v>
      </c>
      <c r="D592" s="13" t="s">
        <v>406</v>
      </c>
      <c r="E592" s="13" t="s">
        <v>413</v>
      </c>
      <c r="F592" s="15">
        <v>18152</v>
      </c>
      <c r="G592" s="15">
        <v>5178.8500000000004</v>
      </c>
      <c r="H592" s="15">
        <f>Table2[[#This Row],[Profit]]/Table2[[#This Row],[Sales]]</f>
        <v>0.28530464962538565</v>
      </c>
    </row>
    <row r="593" spans="1:8" ht="12" customHeight="1" x14ac:dyDescent="0.3">
      <c r="A593" s="13">
        <v>2592</v>
      </c>
      <c r="B593" s="14" t="s">
        <v>143</v>
      </c>
      <c r="C593" s="13" t="s">
        <v>401</v>
      </c>
      <c r="D593" s="13" t="s">
        <v>409</v>
      </c>
      <c r="E593" s="13" t="s">
        <v>411</v>
      </c>
      <c r="F593" s="15">
        <v>24627</v>
      </c>
      <c r="G593" s="15">
        <v>5686.6</v>
      </c>
      <c r="H593" s="15">
        <f>Table2[[#This Row],[Profit]]/Table2[[#This Row],[Sales]]</f>
        <v>0.23090916473788933</v>
      </c>
    </row>
    <row r="594" spans="1:8" ht="12" customHeight="1" x14ac:dyDescent="0.3">
      <c r="A594" s="13">
        <v>2593</v>
      </c>
      <c r="B594" s="14" t="s">
        <v>74</v>
      </c>
      <c r="C594" s="13" t="s">
        <v>403</v>
      </c>
      <c r="D594" s="13" t="s">
        <v>408</v>
      </c>
      <c r="E594" s="13" t="s">
        <v>413</v>
      </c>
      <c r="F594" s="15">
        <v>10546</v>
      </c>
      <c r="G594" s="15">
        <v>2906.99</v>
      </c>
      <c r="H594" s="15">
        <f>Table2[[#This Row],[Profit]]/Table2[[#This Row],[Sales]]</f>
        <v>0.27564858714204438</v>
      </c>
    </row>
    <row r="595" spans="1:8" ht="12" customHeight="1" x14ac:dyDescent="0.3">
      <c r="A595" s="13">
        <v>2594</v>
      </c>
      <c r="B595" s="14" t="s">
        <v>331</v>
      </c>
      <c r="C595" s="13" t="s">
        <v>401</v>
      </c>
      <c r="D595" s="13" t="s">
        <v>407</v>
      </c>
      <c r="E595" s="13" t="s">
        <v>411</v>
      </c>
      <c r="F595" s="15">
        <v>28641</v>
      </c>
      <c r="G595" s="15">
        <v>7563.46</v>
      </c>
      <c r="H595" s="15">
        <f>Table2[[#This Row],[Profit]]/Table2[[#This Row],[Sales]]</f>
        <v>0.26407806989979399</v>
      </c>
    </row>
    <row r="596" spans="1:8" ht="12" customHeight="1" x14ac:dyDescent="0.3">
      <c r="A596" s="13">
        <v>2595</v>
      </c>
      <c r="B596" s="14" t="s">
        <v>222</v>
      </c>
      <c r="C596" s="13" t="s">
        <v>404</v>
      </c>
      <c r="D596" s="13" t="s">
        <v>407</v>
      </c>
      <c r="E596" s="13" t="s">
        <v>412</v>
      </c>
      <c r="F596" s="15">
        <v>18350</v>
      </c>
      <c r="G596" s="15">
        <v>4553.05</v>
      </c>
      <c r="H596" s="15">
        <f>Table2[[#This Row],[Profit]]/Table2[[#This Row],[Sales]]</f>
        <v>0.24812261580381473</v>
      </c>
    </row>
    <row r="597" spans="1:8" ht="12" customHeight="1" x14ac:dyDescent="0.3">
      <c r="A597" s="13">
        <v>2596</v>
      </c>
      <c r="B597" s="14" t="s">
        <v>310</v>
      </c>
      <c r="C597" s="13" t="s">
        <v>402</v>
      </c>
      <c r="D597" s="13" t="s">
        <v>410</v>
      </c>
      <c r="E597" s="13" t="s">
        <v>413</v>
      </c>
      <c r="F597" s="15">
        <v>11198</v>
      </c>
      <c r="G597" s="15">
        <v>3071.66</v>
      </c>
      <c r="H597" s="15">
        <f>Table2[[#This Row],[Profit]]/Table2[[#This Row],[Sales]]</f>
        <v>0.27430434006072513</v>
      </c>
    </row>
    <row r="598" spans="1:8" ht="12" customHeight="1" x14ac:dyDescent="0.3">
      <c r="A598" s="13">
        <v>2597</v>
      </c>
      <c r="B598" s="14" t="s">
        <v>7</v>
      </c>
      <c r="C598" s="13" t="s">
        <v>404</v>
      </c>
      <c r="D598" s="13" t="s">
        <v>407</v>
      </c>
      <c r="E598" s="13" t="s">
        <v>411</v>
      </c>
      <c r="F598" s="15">
        <v>17524</v>
      </c>
      <c r="G598" s="15">
        <v>2691.23</v>
      </c>
      <c r="H598" s="15">
        <f>Table2[[#This Row],[Profit]]/Table2[[#This Row],[Sales]]</f>
        <v>0.15357395571787263</v>
      </c>
    </row>
    <row r="599" spans="1:8" ht="12" customHeight="1" x14ac:dyDescent="0.3">
      <c r="A599" s="13">
        <v>2598</v>
      </c>
      <c r="B599" s="14" t="s">
        <v>271</v>
      </c>
      <c r="C599" s="13" t="s">
        <v>404</v>
      </c>
      <c r="D599" s="13" t="s">
        <v>410</v>
      </c>
      <c r="E599" s="13" t="s">
        <v>413</v>
      </c>
      <c r="F599" s="15">
        <v>15423</v>
      </c>
      <c r="G599" s="15">
        <v>1299.74</v>
      </c>
      <c r="H599" s="15">
        <f>Table2[[#This Row],[Profit]]/Table2[[#This Row],[Sales]]</f>
        <v>8.4272839266031255E-2</v>
      </c>
    </row>
    <row r="600" spans="1:8" ht="12" customHeight="1" x14ac:dyDescent="0.3">
      <c r="A600" s="13">
        <v>2599</v>
      </c>
      <c r="B600" s="14" t="s">
        <v>184</v>
      </c>
      <c r="C600" s="13" t="s">
        <v>404</v>
      </c>
      <c r="D600" s="13" t="s">
        <v>406</v>
      </c>
      <c r="E600" s="13" t="s">
        <v>413</v>
      </c>
      <c r="F600" s="15">
        <v>21447</v>
      </c>
      <c r="G600" s="15">
        <v>3383.57</v>
      </c>
      <c r="H600" s="15">
        <f>Table2[[#This Row],[Profit]]/Table2[[#This Row],[Sales]]</f>
        <v>0.15776425607311045</v>
      </c>
    </row>
    <row r="601" spans="1:8" ht="12" customHeight="1" x14ac:dyDescent="0.3">
      <c r="A601" s="13">
        <v>2600</v>
      </c>
      <c r="B601" s="14" t="s">
        <v>332</v>
      </c>
      <c r="C601" s="13" t="s">
        <v>403</v>
      </c>
      <c r="D601" s="13" t="s">
        <v>407</v>
      </c>
      <c r="E601" s="13" t="s">
        <v>411</v>
      </c>
      <c r="F601" s="15">
        <v>7618</v>
      </c>
      <c r="G601" s="15">
        <v>1300.5999999999999</v>
      </c>
      <c r="H601" s="15">
        <f>Table2[[#This Row],[Profit]]/Table2[[#This Row],[Sales]]</f>
        <v>0.17072722499343659</v>
      </c>
    </row>
    <row r="602" spans="1:8" ht="12" customHeight="1" x14ac:dyDescent="0.3">
      <c r="A602" s="13">
        <v>2601</v>
      </c>
      <c r="B602" s="14" t="s">
        <v>136</v>
      </c>
      <c r="C602" s="13" t="s">
        <v>401</v>
      </c>
      <c r="D602" s="13" t="s">
        <v>405</v>
      </c>
      <c r="E602" s="13" t="s">
        <v>413</v>
      </c>
      <c r="F602" s="15">
        <v>27130</v>
      </c>
      <c r="G602" s="15">
        <v>7508.69</v>
      </c>
      <c r="H602" s="15">
        <f>Table2[[#This Row],[Profit]]/Table2[[#This Row],[Sales]]</f>
        <v>0.27676704754883891</v>
      </c>
    </row>
    <row r="603" spans="1:8" ht="12" customHeight="1" x14ac:dyDescent="0.3">
      <c r="A603" s="13">
        <v>2602</v>
      </c>
      <c r="B603" s="14" t="s">
        <v>330</v>
      </c>
      <c r="C603" s="13" t="s">
        <v>401</v>
      </c>
      <c r="D603" s="13" t="s">
        <v>408</v>
      </c>
      <c r="E603" s="13" t="s">
        <v>411</v>
      </c>
      <c r="F603" s="15">
        <v>11496</v>
      </c>
      <c r="G603" s="15">
        <v>2049.31</v>
      </c>
      <c r="H603" s="15">
        <f>Table2[[#This Row],[Profit]]/Table2[[#This Row],[Sales]]</f>
        <v>0.17826287404314545</v>
      </c>
    </row>
    <row r="604" spans="1:8" ht="12" customHeight="1" x14ac:dyDescent="0.3">
      <c r="A604" s="13">
        <v>2603</v>
      </c>
      <c r="B604" s="14" t="s">
        <v>333</v>
      </c>
      <c r="C604" s="13" t="s">
        <v>401</v>
      </c>
      <c r="D604" s="13" t="s">
        <v>406</v>
      </c>
      <c r="E604" s="13" t="s">
        <v>411</v>
      </c>
      <c r="F604" s="15">
        <v>25464</v>
      </c>
      <c r="G604" s="15">
        <v>7513.29</v>
      </c>
      <c r="H604" s="15">
        <f>Table2[[#This Row],[Profit]]/Table2[[#This Row],[Sales]]</f>
        <v>0.29505537229029216</v>
      </c>
    </row>
    <row r="605" spans="1:8" ht="12" customHeight="1" x14ac:dyDescent="0.3">
      <c r="A605" s="13">
        <v>2604</v>
      </c>
      <c r="B605" s="14" t="s">
        <v>229</v>
      </c>
      <c r="C605" s="13" t="s">
        <v>401</v>
      </c>
      <c r="D605" s="13" t="s">
        <v>405</v>
      </c>
      <c r="E605" s="13" t="s">
        <v>412</v>
      </c>
      <c r="F605" s="15">
        <v>15340</v>
      </c>
      <c r="G605" s="15">
        <v>1374.88</v>
      </c>
      <c r="H605" s="15">
        <f>Table2[[#This Row],[Profit]]/Table2[[#This Row],[Sales]]</f>
        <v>8.9627118644067805E-2</v>
      </c>
    </row>
    <row r="606" spans="1:8" ht="12" customHeight="1" x14ac:dyDescent="0.3">
      <c r="A606" s="13">
        <v>2605</v>
      </c>
      <c r="B606" s="14" t="s">
        <v>216</v>
      </c>
      <c r="C606" s="13" t="s">
        <v>402</v>
      </c>
      <c r="D606" s="13" t="s">
        <v>408</v>
      </c>
      <c r="E606" s="13" t="s">
        <v>413</v>
      </c>
      <c r="F606" s="15">
        <v>16524</v>
      </c>
      <c r="G606" s="15">
        <v>2794.6</v>
      </c>
      <c r="H606" s="15">
        <f>Table2[[#This Row],[Profit]]/Table2[[#This Row],[Sales]]</f>
        <v>0.16912369886226095</v>
      </c>
    </row>
    <row r="607" spans="1:8" ht="12" customHeight="1" x14ac:dyDescent="0.3">
      <c r="A607" s="13">
        <v>2606</v>
      </c>
      <c r="B607" s="14" t="s">
        <v>48</v>
      </c>
      <c r="C607" s="13" t="s">
        <v>403</v>
      </c>
      <c r="D607" s="13" t="s">
        <v>406</v>
      </c>
      <c r="E607" s="13" t="s">
        <v>413</v>
      </c>
      <c r="F607" s="15">
        <v>5536</v>
      </c>
      <c r="G607" s="15">
        <v>1262.68</v>
      </c>
      <c r="H607" s="15">
        <f>Table2[[#This Row],[Profit]]/Table2[[#This Row],[Sales]]</f>
        <v>0.22808526011560695</v>
      </c>
    </row>
    <row r="608" spans="1:8" ht="12" customHeight="1" x14ac:dyDescent="0.3">
      <c r="A608" s="13">
        <v>2607</v>
      </c>
      <c r="B608" s="14" t="s">
        <v>48</v>
      </c>
      <c r="C608" s="13" t="s">
        <v>401</v>
      </c>
      <c r="D608" s="13" t="s">
        <v>405</v>
      </c>
      <c r="E608" s="13" t="s">
        <v>411</v>
      </c>
      <c r="F608" s="15">
        <v>29856</v>
      </c>
      <c r="G608" s="15">
        <v>5528.39</v>
      </c>
      <c r="H608" s="15">
        <f>Table2[[#This Row],[Profit]]/Table2[[#This Row],[Sales]]</f>
        <v>0.18516847534833869</v>
      </c>
    </row>
    <row r="609" spans="1:8" ht="12" customHeight="1" x14ac:dyDescent="0.3">
      <c r="A609" s="13">
        <v>2608</v>
      </c>
      <c r="B609" s="14" t="s">
        <v>157</v>
      </c>
      <c r="C609" s="13" t="s">
        <v>401</v>
      </c>
      <c r="D609" s="13" t="s">
        <v>410</v>
      </c>
      <c r="E609" s="13" t="s">
        <v>412</v>
      </c>
      <c r="F609" s="15">
        <v>16261</v>
      </c>
      <c r="G609" s="15">
        <v>2306.9499999999998</v>
      </c>
      <c r="H609" s="15">
        <f>Table2[[#This Row],[Profit]]/Table2[[#This Row],[Sales]]</f>
        <v>0.14187011868888752</v>
      </c>
    </row>
    <row r="610" spans="1:8" ht="12" customHeight="1" x14ac:dyDescent="0.3">
      <c r="A610" s="13">
        <v>2609</v>
      </c>
      <c r="B610" s="14" t="s">
        <v>240</v>
      </c>
      <c r="C610" s="13" t="s">
        <v>404</v>
      </c>
      <c r="D610" s="13" t="s">
        <v>409</v>
      </c>
      <c r="E610" s="13" t="s">
        <v>411</v>
      </c>
      <c r="F610" s="15">
        <v>8383</v>
      </c>
      <c r="G610" s="15">
        <v>2319.9</v>
      </c>
      <c r="H610" s="15">
        <f>Table2[[#This Row],[Profit]]/Table2[[#This Row],[Sales]]</f>
        <v>0.2767386377191936</v>
      </c>
    </row>
    <row r="611" spans="1:8" ht="12" customHeight="1" x14ac:dyDescent="0.3">
      <c r="A611" s="13">
        <v>2610</v>
      </c>
      <c r="B611" s="14" t="s">
        <v>334</v>
      </c>
      <c r="C611" s="13" t="s">
        <v>404</v>
      </c>
      <c r="D611" s="13" t="s">
        <v>409</v>
      </c>
      <c r="E611" s="13" t="s">
        <v>412</v>
      </c>
      <c r="F611" s="15">
        <v>28834</v>
      </c>
      <c r="G611" s="15">
        <v>3421.31</v>
      </c>
      <c r="H611" s="15">
        <f>Table2[[#This Row],[Profit]]/Table2[[#This Row],[Sales]]</f>
        <v>0.1186554068114032</v>
      </c>
    </row>
    <row r="612" spans="1:8" ht="12" customHeight="1" x14ac:dyDescent="0.3">
      <c r="A612" s="13">
        <v>2611</v>
      </c>
      <c r="B612" s="14" t="s">
        <v>266</v>
      </c>
      <c r="C612" s="13" t="s">
        <v>402</v>
      </c>
      <c r="D612" s="13" t="s">
        <v>410</v>
      </c>
      <c r="E612" s="13" t="s">
        <v>411</v>
      </c>
      <c r="F612" s="15">
        <v>21906</v>
      </c>
      <c r="G612" s="15">
        <v>5670.69</v>
      </c>
      <c r="H612" s="15">
        <f>Table2[[#This Row],[Profit]]/Table2[[#This Row],[Sales]]</f>
        <v>0.25886469460421802</v>
      </c>
    </row>
    <row r="613" spans="1:8" ht="12" customHeight="1" x14ac:dyDescent="0.3">
      <c r="A613" s="13">
        <v>2612</v>
      </c>
      <c r="B613" s="14" t="s">
        <v>122</v>
      </c>
      <c r="C613" s="13" t="s">
        <v>403</v>
      </c>
      <c r="D613" s="13" t="s">
        <v>410</v>
      </c>
      <c r="E613" s="13" t="s">
        <v>411</v>
      </c>
      <c r="F613" s="15">
        <v>3332</v>
      </c>
      <c r="G613" s="15">
        <v>960.75</v>
      </c>
      <c r="H613" s="15">
        <f>Table2[[#This Row],[Profit]]/Table2[[#This Row],[Sales]]</f>
        <v>0.28834033613445376</v>
      </c>
    </row>
    <row r="614" spans="1:8" ht="12" customHeight="1" x14ac:dyDescent="0.3">
      <c r="A614" s="13">
        <v>2613</v>
      </c>
      <c r="B614" s="14" t="s">
        <v>335</v>
      </c>
      <c r="C614" s="13" t="s">
        <v>403</v>
      </c>
      <c r="D614" s="13" t="s">
        <v>409</v>
      </c>
      <c r="E614" s="13" t="s">
        <v>413</v>
      </c>
      <c r="F614" s="15">
        <v>15815</v>
      </c>
      <c r="G614" s="15">
        <v>1421.09</v>
      </c>
      <c r="H614" s="15">
        <f>Table2[[#This Row],[Profit]]/Table2[[#This Row],[Sales]]</f>
        <v>8.9857097692064486E-2</v>
      </c>
    </row>
    <row r="615" spans="1:8" ht="12" customHeight="1" x14ac:dyDescent="0.3">
      <c r="A615" s="13">
        <v>2614</v>
      </c>
      <c r="B615" s="14" t="s">
        <v>123</v>
      </c>
      <c r="C615" s="13" t="s">
        <v>404</v>
      </c>
      <c r="D615" s="13" t="s">
        <v>405</v>
      </c>
      <c r="E615" s="13" t="s">
        <v>413</v>
      </c>
      <c r="F615" s="15">
        <v>21711</v>
      </c>
      <c r="G615" s="15">
        <v>2445.4499999999998</v>
      </c>
      <c r="H615" s="15">
        <f>Table2[[#This Row],[Profit]]/Table2[[#This Row],[Sales]]</f>
        <v>0.11263645156832941</v>
      </c>
    </row>
    <row r="616" spans="1:8" ht="12" customHeight="1" x14ac:dyDescent="0.3">
      <c r="A616" s="13">
        <v>2615</v>
      </c>
      <c r="B616" s="14" t="s">
        <v>336</v>
      </c>
      <c r="C616" s="13" t="s">
        <v>404</v>
      </c>
      <c r="D616" s="13" t="s">
        <v>406</v>
      </c>
      <c r="E616" s="13" t="s">
        <v>411</v>
      </c>
      <c r="F616" s="15">
        <v>24739</v>
      </c>
      <c r="G616" s="15">
        <v>3716.53</v>
      </c>
      <c r="H616" s="15">
        <f>Table2[[#This Row],[Profit]]/Table2[[#This Row],[Sales]]</f>
        <v>0.15022959699260277</v>
      </c>
    </row>
    <row r="617" spans="1:8" ht="12" customHeight="1" x14ac:dyDescent="0.3">
      <c r="A617" s="13">
        <v>2616</v>
      </c>
      <c r="B617" s="14" t="s">
        <v>170</v>
      </c>
      <c r="C617" s="13" t="s">
        <v>404</v>
      </c>
      <c r="D617" s="13" t="s">
        <v>406</v>
      </c>
      <c r="E617" s="13" t="s">
        <v>413</v>
      </c>
      <c r="F617" s="15">
        <v>3146</v>
      </c>
      <c r="G617" s="15">
        <v>604.28</v>
      </c>
      <c r="H617" s="15">
        <f>Table2[[#This Row],[Profit]]/Table2[[#This Row],[Sales]]</f>
        <v>0.19207883026064843</v>
      </c>
    </row>
    <row r="618" spans="1:8" ht="12" customHeight="1" x14ac:dyDescent="0.3">
      <c r="A618" s="13">
        <v>2617</v>
      </c>
      <c r="B618" s="14" t="s">
        <v>337</v>
      </c>
      <c r="C618" s="13" t="s">
        <v>401</v>
      </c>
      <c r="D618" s="13" t="s">
        <v>406</v>
      </c>
      <c r="E618" s="13" t="s">
        <v>413</v>
      </c>
      <c r="F618" s="15">
        <v>1984</v>
      </c>
      <c r="G618" s="15">
        <v>566.46</v>
      </c>
      <c r="H618" s="15">
        <f>Table2[[#This Row],[Profit]]/Table2[[#This Row],[Sales]]</f>
        <v>0.28551411290322581</v>
      </c>
    </row>
    <row r="619" spans="1:8" ht="12" customHeight="1" x14ac:dyDescent="0.3">
      <c r="A619" s="13">
        <v>2618</v>
      </c>
      <c r="B619" s="14" t="s">
        <v>190</v>
      </c>
      <c r="C619" s="13" t="s">
        <v>402</v>
      </c>
      <c r="D619" s="13" t="s">
        <v>408</v>
      </c>
      <c r="E619" s="13" t="s">
        <v>411</v>
      </c>
      <c r="F619" s="15">
        <v>22370</v>
      </c>
      <c r="G619" s="15">
        <v>4314</v>
      </c>
      <c r="H619" s="15">
        <f>Table2[[#This Row],[Profit]]/Table2[[#This Row],[Sales]]</f>
        <v>0.19284756370138578</v>
      </c>
    </row>
    <row r="620" spans="1:8" ht="12" customHeight="1" x14ac:dyDescent="0.3">
      <c r="A620" s="13">
        <v>2619</v>
      </c>
      <c r="B620" s="14" t="s">
        <v>65</v>
      </c>
      <c r="C620" s="13" t="s">
        <v>404</v>
      </c>
      <c r="D620" s="13" t="s">
        <v>408</v>
      </c>
      <c r="E620" s="13" t="s">
        <v>413</v>
      </c>
      <c r="F620" s="15">
        <v>4519</v>
      </c>
      <c r="G620" s="15">
        <v>1256.33</v>
      </c>
      <c r="H620" s="15">
        <f>Table2[[#This Row],[Profit]]/Table2[[#This Row],[Sales]]</f>
        <v>0.2780106218189865</v>
      </c>
    </row>
    <row r="621" spans="1:8" ht="12" customHeight="1" x14ac:dyDescent="0.3">
      <c r="A621" s="13">
        <v>2620</v>
      </c>
      <c r="B621" s="14" t="s">
        <v>338</v>
      </c>
      <c r="C621" s="13" t="s">
        <v>403</v>
      </c>
      <c r="D621" s="13" t="s">
        <v>405</v>
      </c>
      <c r="E621" s="13" t="s">
        <v>412</v>
      </c>
      <c r="F621" s="15">
        <v>7130</v>
      </c>
      <c r="G621" s="15">
        <v>1688.32</v>
      </c>
      <c r="H621" s="15">
        <f>Table2[[#This Row],[Profit]]/Table2[[#This Row],[Sales]]</f>
        <v>0.23679102384291725</v>
      </c>
    </row>
    <row r="622" spans="1:8" ht="12" customHeight="1" x14ac:dyDescent="0.3">
      <c r="A622" s="13">
        <v>2621</v>
      </c>
      <c r="B622" s="14" t="s">
        <v>203</v>
      </c>
      <c r="C622" s="13" t="s">
        <v>402</v>
      </c>
      <c r="D622" s="13" t="s">
        <v>405</v>
      </c>
      <c r="E622" s="13" t="s">
        <v>411</v>
      </c>
      <c r="F622" s="15">
        <v>11195</v>
      </c>
      <c r="G622" s="15">
        <v>3318.39</v>
      </c>
      <c r="H622" s="15">
        <f>Table2[[#This Row],[Profit]]/Table2[[#This Row],[Sales]]</f>
        <v>0.29641715051362216</v>
      </c>
    </row>
    <row r="623" spans="1:8" ht="12" customHeight="1" x14ac:dyDescent="0.3">
      <c r="A623" s="13">
        <v>2622</v>
      </c>
      <c r="B623" s="14" t="s">
        <v>339</v>
      </c>
      <c r="C623" s="13" t="s">
        <v>404</v>
      </c>
      <c r="D623" s="13" t="s">
        <v>407</v>
      </c>
      <c r="E623" s="13" t="s">
        <v>411</v>
      </c>
      <c r="F623" s="15">
        <v>26072</v>
      </c>
      <c r="G623" s="15">
        <v>5036.1000000000004</v>
      </c>
      <c r="H623" s="15">
        <f>Table2[[#This Row],[Profit]]/Table2[[#This Row],[Sales]]</f>
        <v>0.1931612457809144</v>
      </c>
    </row>
    <row r="624" spans="1:8" ht="12" customHeight="1" x14ac:dyDescent="0.3">
      <c r="A624" s="13">
        <v>2623</v>
      </c>
      <c r="B624" s="14" t="s">
        <v>276</v>
      </c>
      <c r="C624" s="13" t="s">
        <v>404</v>
      </c>
      <c r="D624" s="13" t="s">
        <v>410</v>
      </c>
      <c r="E624" s="13" t="s">
        <v>411</v>
      </c>
      <c r="F624" s="15">
        <v>18313</v>
      </c>
      <c r="G624" s="15">
        <v>3968.18</v>
      </c>
      <c r="H624" s="15">
        <f>Table2[[#This Row],[Profit]]/Table2[[#This Row],[Sales]]</f>
        <v>0.21668650685305521</v>
      </c>
    </row>
    <row r="625" spans="1:8" ht="12" customHeight="1" x14ac:dyDescent="0.3">
      <c r="A625" s="13">
        <v>2624</v>
      </c>
      <c r="B625" s="14" t="s">
        <v>340</v>
      </c>
      <c r="C625" s="13" t="s">
        <v>402</v>
      </c>
      <c r="D625" s="13" t="s">
        <v>408</v>
      </c>
      <c r="E625" s="13" t="s">
        <v>411</v>
      </c>
      <c r="F625" s="15">
        <v>19693</v>
      </c>
      <c r="G625" s="15">
        <v>1641.22</v>
      </c>
      <c r="H625" s="15">
        <f>Table2[[#This Row],[Profit]]/Table2[[#This Row],[Sales]]</f>
        <v>8.3340273193520539E-2</v>
      </c>
    </row>
    <row r="626" spans="1:8" ht="12" customHeight="1" x14ac:dyDescent="0.3">
      <c r="A626" s="13">
        <v>2625</v>
      </c>
      <c r="B626" s="14" t="s">
        <v>341</v>
      </c>
      <c r="C626" s="13" t="s">
        <v>401</v>
      </c>
      <c r="D626" s="13" t="s">
        <v>406</v>
      </c>
      <c r="E626" s="13" t="s">
        <v>411</v>
      </c>
      <c r="F626" s="15">
        <v>13151</v>
      </c>
      <c r="G626" s="15">
        <v>1503.47</v>
      </c>
      <c r="H626" s="15">
        <f>Table2[[#This Row],[Profit]]/Table2[[#This Row],[Sales]]</f>
        <v>0.11432362557980381</v>
      </c>
    </row>
    <row r="627" spans="1:8" ht="12" customHeight="1" x14ac:dyDescent="0.3">
      <c r="A627" s="13">
        <v>2626</v>
      </c>
      <c r="B627" s="14" t="s">
        <v>169</v>
      </c>
      <c r="C627" s="13" t="s">
        <v>402</v>
      </c>
      <c r="D627" s="13" t="s">
        <v>406</v>
      </c>
      <c r="E627" s="13" t="s">
        <v>413</v>
      </c>
      <c r="F627" s="15">
        <v>29079</v>
      </c>
      <c r="G627" s="15">
        <v>4581.91</v>
      </c>
      <c r="H627" s="15">
        <f>Table2[[#This Row],[Profit]]/Table2[[#This Row],[Sales]]</f>
        <v>0.1575676605110217</v>
      </c>
    </row>
    <row r="628" spans="1:8" ht="12" customHeight="1" x14ac:dyDescent="0.3">
      <c r="A628" s="13">
        <v>2627</v>
      </c>
      <c r="B628" s="14" t="s">
        <v>342</v>
      </c>
      <c r="C628" s="13" t="s">
        <v>402</v>
      </c>
      <c r="D628" s="13" t="s">
        <v>406</v>
      </c>
      <c r="E628" s="13" t="s">
        <v>412</v>
      </c>
      <c r="F628" s="15">
        <v>17419</v>
      </c>
      <c r="G628" s="15">
        <v>2187.83</v>
      </c>
      <c r="H628" s="15">
        <f>Table2[[#This Row],[Profit]]/Table2[[#This Row],[Sales]]</f>
        <v>0.12560020667087662</v>
      </c>
    </row>
    <row r="629" spans="1:8" ht="12" customHeight="1" x14ac:dyDescent="0.3">
      <c r="A629" s="13">
        <v>2628</v>
      </c>
      <c r="B629" s="14" t="s">
        <v>67</v>
      </c>
      <c r="C629" s="13" t="s">
        <v>403</v>
      </c>
      <c r="D629" s="13" t="s">
        <v>409</v>
      </c>
      <c r="E629" s="13" t="s">
        <v>412</v>
      </c>
      <c r="F629" s="15">
        <v>11155</v>
      </c>
      <c r="G629" s="15">
        <v>1618.75</v>
      </c>
      <c r="H629" s="15">
        <f>Table2[[#This Row],[Profit]]/Table2[[#This Row],[Sales]]</f>
        <v>0.14511429852084268</v>
      </c>
    </row>
    <row r="630" spans="1:8" ht="12" customHeight="1" x14ac:dyDescent="0.3">
      <c r="A630" s="13">
        <v>2629</v>
      </c>
      <c r="B630" s="14" t="s">
        <v>343</v>
      </c>
      <c r="C630" s="13" t="s">
        <v>404</v>
      </c>
      <c r="D630" s="13" t="s">
        <v>405</v>
      </c>
      <c r="E630" s="13" t="s">
        <v>411</v>
      </c>
      <c r="F630" s="15">
        <v>27490</v>
      </c>
      <c r="G630" s="15">
        <v>4892.0600000000004</v>
      </c>
      <c r="H630" s="15">
        <f>Table2[[#This Row],[Profit]]/Table2[[#This Row],[Sales]]</f>
        <v>0.17795780283739543</v>
      </c>
    </row>
    <row r="631" spans="1:8" ht="12" customHeight="1" x14ac:dyDescent="0.3">
      <c r="A631" s="13">
        <v>2630</v>
      </c>
      <c r="B631" s="14" t="s">
        <v>94</v>
      </c>
      <c r="C631" s="13" t="s">
        <v>402</v>
      </c>
      <c r="D631" s="13" t="s">
        <v>408</v>
      </c>
      <c r="E631" s="13" t="s">
        <v>411</v>
      </c>
      <c r="F631" s="15">
        <v>15828</v>
      </c>
      <c r="G631" s="15">
        <v>1330.96</v>
      </c>
      <c r="H631" s="15">
        <f>Table2[[#This Row],[Profit]]/Table2[[#This Row],[Sales]]</f>
        <v>8.4088956280010105E-2</v>
      </c>
    </row>
    <row r="632" spans="1:8" ht="12" customHeight="1" x14ac:dyDescent="0.3">
      <c r="A632" s="13">
        <v>2631</v>
      </c>
      <c r="B632" s="14" t="s">
        <v>163</v>
      </c>
      <c r="C632" s="13" t="s">
        <v>401</v>
      </c>
      <c r="D632" s="13" t="s">
        <v>406</v>
      </c>
      <c r="E632" s="13" t="s">
        <v>411</v>
      </c>
      <c r="F632" s="15">
        <v>8767</v>
      </c>
      <c r="G632" s="15">
        <v>1476.07</v>
      </c>
      <c r="H632" s="15">
        <f>Table2[[#This Row],[Profit]]/Table2[[#This Row],[Sales]]</f>
        <v>0.16836660203034104</v>
      </c>
    </row>
    <row r="633" spans="1:8" ht="12" customHeight="1" x14ac:dyDescent="0.3">
      <c r="A633" s="13">
        <v>2632</v>
      </c>
      <c r="B633" s="14" t="s">
        <v>238</v>
      </c>
      <c r="C633" s="13" t="s">
        <v>404</v>
      </c>
      <c r="D633" s="13" t="s">
        <v>408</v>
      </c>
      <c r="E633" s="13" t="s">
        <v>413</v>
      </c>
      <c r="F633" s="15">
        <v>7704</v>
      </c>
      <c r="G633" s="15">
        <v>2112.52</v>
      </c>
      <c r="H633" s="15">
        <f>Table2[[#This Row],[Profit]]/Table2[[#This Row],[Sales]]</f>
        <v>0.27421079958463135</v>
      </c>
    </row>
    <row r="634" spans="1:8" ht="12" customHeight="1" x14ac:dyDescent="0.3">
      <c r="A634" s="13">
        <v>2633</v>
      </c>
      <c r="B634" s="14" t="s">
        <v>145</v>
      </c>
      <c r="C634" s="13" t="s">
        <v>403</v>
      </c>
      <c r="D634" s="13" t="s">
        <v>407</v>
      </c>
      <c r="E634" s="13" t="s">
        <v>411</v>
      </c>
      <c r="F634" s="15">
        <v>12742</v>
      </c>
      <c r="G634" s="15">
        <v>3109.95</v>
      </c>
      <c r="H634" s="15">
        <f>Table2[[#This Row],[Profit]]/Table2[[#This Row],[Sales]]</f>
        <v>0.24407078951498978</v>
      </c>
    </row>
    <row r="635" spans="1:8" ht="12" customHeight="1" x14ac:dyDescent="0.3">
      <c r="A635" s="13">
        <v>2634</v>
      </c>
      <c r="B635" s="14" t="s">
        <v>112</v>
      </c>
      <c r="C635" s="13" t="s">
        <v>401</v>
      </c>
      <c r="D635" s="13" t="s">
        <v>408</v>
      </c>
      <c r="E635" s="13" t="s">
        <v>413</v>
      </c>
      <c r="F635" s="15">
        <v>22290</v>
      </c>
      <c r="G635" s="15">
        <v>6505.95</v>
      </c>
      <c r="H635" s="15">
        <f>Table2[[#This Row],[Profit]]/Table2[[#This Row],[Sales]]</f>
        <v>0.29187752355316282</v>
      </c>
    </row>
    <row r="636" spans="1:8" ht="12" customHeight="1" x14ac:dyDescent="0.3">
      <c r="A636" s="13">
        <v>2635</v>
      </c>
      <c r="B636" s="14" t="s">
        <v>344</v>
      </c>
      <c r="C636" s="13" t="s">
        <v>401</v>
      </c>
      <c r="D636" s="13" t="s">
        <v>406</v>
      </c>
      <c r="E636" s="13" t="s">
        <v>411</v>
      </c>
      <c r="F636" s="15">
        <v>12380</v>
      </c>
      <c r="G636" s="15">
        <v>1649.31</v>
      </c>
      <c r="H636" s="15">
        <f>Table2[[#This Row],[Profit]]/Table2[[#This Row],[Sales]]</f>
        <v>0.1332237479806139</v>
      </c>
    </row>
    <row r="637" spans="1:8" ht="12" customHeight="1" x14ac:dyDescent="0.3">
      <c r="A637" s="13">
        <v>2636</v>
      </c>
      <c r="B637" s="14" t="s">
        <v>184</v>
      </c>
      <c r="C637" s="13" t="s">
        <v>401</v>
      </c>
      <c r="D637" s="13" t="s">
        <v>409</v>
      </c>
      <c r="E637" s="13" t="s">
        <v>411</v>
      </c>
      <c r="F637" s="15">
        <v>12163</v>
      </c>
      <c r="G637" s="15">
        <v>1941.62</v>
      </c>
      <c r="H637" s="15">
        <f>Table2[[#This Row],[Profit]]/Table2[[#This Row],[Sales]]</f>
        <v>0.15963331414946969</v>
      </c>
    </row>
    <row r="638" spans="1:8" ht="12" customHeight="1" x14ac:dyDescent="0.3">
      <c r="A638" s="13">
        <v>2637</v>
      </c>
      <c r="B638" s="14" t="s">
        <v>134</v>
      </c>
      <c r="C638" s="13" t="s">
        <v>402</v>
      </c>
      <c r="D638" s="13" t="s">
        <v>408</v>
      </c>
      <c r="E638" s="13" t="s">
        <v>413</v>
      </c>
      <c r="F638" s="15">
        <v>16049</v>
      </c>
      <c r="G638" s="15">
        <v>1310.87</v>
      </c>
      <c r="H638" s="15">
        <f>Table2[[#This Row],[Profit]]/Table2[[#This Row],[Sales]]</f>
        <v>8.1679232350925279E-2</v>
      </c>
    </row>
    <row r="639" spans="1:8" ht="12" customHeight="1" x14ac:dyDescent="0.3">
      <c r="A639" s="13">
        <v>2638</v>
      </c>
      <c r="B639" s="14" t="s">
        <v>345</v>
      </c>
      <c r="C639" s="13" t="s">
        <v>401</v>
      </c>
      <c r="D639" s="13" t="s">
        <v>409</v>
      </c>
      <c r="E639" s="13" t="s">
        <v>412</v>
      </c>
      <c r="F639" s="15">
        <v>22411</v>
      </c>
      <c r="G639" s="15">
        <v>2152.13</v>
      </c>
      <c r="H639" s="15">
        <f>Table2[[#This Row],[Profit]]/Table2[[#This Row],[Sales]]</f>
        <v>9.6030074516978273E-2</v>
      </c>
    </row>
    <row r="640" spans="1:8" ht="12" customHeight="1" x14ac:dyDescent="0.3">
      <c r="A640" s="13">
        <v>2639</v>
      </c>
      <c r="B640" s="14" t="s">
        <v>175</v>
      </c>
      <c r="C640" s="13" t="s">
        <v>403</v>
      </c>
      <c r="D640" s="13" t="s">
        <v>410</v>
      </c>
      <c r="E640" s="13" t="s">
        <v>412</v>
      </c>
      <c r="F640" s="15">
        <v>11740</v>
      </c>
      <c r="G640" s="15">
        <v>3067.69</v>
      </c>
      <c r="H640" s="15">
        <f>Table2[[#This Row],[Profit]]/Table2[[#This Row],[Sales]]</f>
        <v>0.26130238500851788</v>
      </c>
    </row>
    <row r="641" spans="1:8" ht="12" customHeight="1" x14ac:dyDescent="0.3">
      <c r="A641" s="13">
        <v>2640</v>
      </c>
      <c r="B641" s="14" t="s">
        <v>130</v>
      </c>
      <c r="C641" s="13" t="s">
        <v>402</v>
      </c>
      <c r="D641" s="13" t="s">
        <v>406</v>
      </c>
      <c r="E641" s="13" t="s">
        <v>412</v>
      </c>
      <c r="F641" s="15">
        <v>19138</v>
      </c>
      <c r="G641" s="15">
        <v>2126.06</v>
      </c>
      <c r="H641" s="15">
        <f>Table2[[#This Row],[Profit]]/Table2[[#This Row],[Sales]]</f>
        <v>0.11109102309541227</v>
      </c>
    </row>
    <row r="642" spans="1:8" ht="12" customHeight="1" x14ac:dyDescent="0.3">
      <c r="A642" s="13">
        <v>2641</v>
      </c>
      <c r="B642" s="14" t="s">
        <v>346</v>
      </c>
      <c r="C642" s="13" t="s">
        <v>404</v>
      </c>
      <c r="D642" s="13" t="s">
        <v>408</v>
      </c>
      <c r="E642" s="13" t="s">
        <v>412</v>
      </c>
      <c r="F642" s="15">
        <v>9437</v>
      </c>
      <c r="G642" s="15">
        <v>2500.59</v>
      </c>
      <c r="H642" s="15">
        <f>Table2[[#This Row],[Profit]]/Table2[[#This Row],[Sales]]</f>
        <v>0.26497721733601781</v>
      </c>
    </row>
    <row r="643" spans="1:8" ht="12" customHeight="1" x14ac:dyDescent="0.3">
      <c r="A643" s="13">
        <v>2642</v>
      </c>
      <c r="B643" s="14" t="s">
        <v>137</v>
      </c>
      <c r="C643" s="13" t="s">
        <v>404</v>
      </c>
      <c r="D643" s="13" t="s">
        <v>405</v>
      </c>
      <c r="E643" s="13" t="s">
        <v>413</v>
      </c>
      <c r="F643" s="15">
        <v>10464</v>
      </c>
      <c r="G643" s="15">
        <v>2874.52</v>
      </c>
      <c r="H643" s="15">
        <f>Table2[[#This Row],[Profit]]/Table2[[#This Row],[Sales]]</f>
        <v>0.27470565749235476</v>
      </c>
    </row>
    <row r="644" spans="1:8" ht="12" customHeight="1" x14ac:dyDescent="0.3">
      <c r="A644" s="13">
        <v>2643</v>
      </c>
      <c r="B644" s="14" t="s">
        <v>292</v>
      </c>
      <c r="C644" s="13" t="s">
        <v>403</v>
      </c>
      <c r="D644" s="13" t="s">
        <v>405</v>
      </c>
      <c r="E644" s="13" t="s">
        <v>413</v>
      </c>
      <c r="F644" s="15">
        <v>15689</v>
      </c>
      <c r="G644" s="15">
        <v>3489.9</v>
      </c>
      <c r="H644" s="15">
        <f>Table2[[#This Row],[Profit]]/Table2[[#This Row],[Sales]]</f>
        <v>0.22244247561986105</v>
      </c>
    </row>
    <row r="645" spans="1:8" ht="12" customHeight="1" x14ac:dyDescent="0.3">
      <c r="A645" s="13">
        <v>2644</v>
      </c>
      <c r="B645" s="14" t="s">
        <v>347</v>
      </c>
      <c r="C645" s="13" t="s">
        <v>402</v>
      </c>
      <c r="D645" s="13" t="s">
        <v>410</v>
      </c>
      <c r="E645" s="13" t="s">
        <v>412</v>
      </c>
      <c r="F645" s="15">
        <v>8005</v>
      </c>
      <c r="G645" s="15">
        <v>1024.33</v>
      </c>
      <c r="H645" s="15">
        <f>Table2[[#This Row],[Profit]]/Table2[[#This Row],[Sales]]</f>
        <v>0.12796127420362272</v>
      </c>
    </row>
    <row r="646" spans="1:8" ht="12" customHeight="1" x14ac:dyDescent="0.3">
      <c r="A646" s="13">
        <v>2645</v>
      </c>
      <c r="B646" s="14" t="s">
        <v>20</v>
      </c>
      <c r="C646" s="13" t="s">
        <v>403</v>
      </c>
      <c r="D646" s="13" t="s">
        <v>407</v>
      </c>
      <c r="E646" s="13" t="s">
        <v>412</v>
      </c>
      <c r="F646" s="15">
        <v>9641</v>
      </c>
      <c r="G646" s="15">
        <v>2325</v>
      </c>
      <c r="H646" s="15">
        <f>Table2[[#This Row],[Profit]]/Table2[[#This Row],[Sales]]</f>
        <v>0.24115755627009647</v>
      </c>
    </row>
    <row r="647" spans="1:8" ht="12" customHeight="1" x14ac:dyDescent="0.3">
      <c r="A647" s="13">
        <v>2646</v>
      </c>
      <c r="B647" s="14" t="s">
        <v>107</v>
      </c>
      <c r="C647" s="13" t="s">
        <v>404</v>
      </c>
      <c r="D647" s="13" t="s">
        <v>409</v>
      </c>
      <c r="E647" s="13" t="s">
        <v>412</v>
      </c>
      <c r="F647" s="15">
        <v>15144</v>
      </c>
      <c r="G647" s="15">
        <v>2901.97</v>
      </c>
      <c r="H647" s="15">
        <f>Table2[[#This Row],[Profit]]/Table2[[#This Row],[Sales]]</f>
        <v>0.19162506603275223</v>
      </c>
    </row>
    <row r="648" spans="1:8" ht="12" customHeight="1" x14ac:dyDescent="0.3">
      <c r="A648" s="13">
        <v>2647</v>
      </c>
      <c r="B648" s="14" t="s">
        <v>307</v>
      </c>
      <c r="C648" s="13" t="s">
        <v>402</v>
      </c>
      <c r="D648" s="13" t="s">
        <v>406</v>
      </c>
      <c r="E648" s="13" t="s">
        <v>411</v>
      </c>
      <c r="F648" s="15">
        <v>23782</v>
      </c>
      <c r="G648" s="15">
        <v>1953.96</v>
      </c>
      <c r="H648" s="15">
        <f>Table2[[#This Row],[Profit]]/Table2[[#This Row],[Sales]]</f>
        <v>8.2161298461020937E-2</v>
      </c>
    </row>
    <row r="649" spans="1:8" ht="12" customHeight="1" x14ac:dyDescent="0.3">
      <c r="A649" s="13">
        <v>2648</v>
      </c>
      <c r="B649" s="14" t="s">
        <v>108</v>
      </c>
      <c r="C649" s="13" t="s">
        <v>401</v>
      </c>
      <c r="D649" s="13" t="s">
        <v>408</v>
      </c>
      <c r="E649" s="13" t="s">
        <v>413</v>
      </c>
      <c r="F649" s="15">
        <v>1529</v>
      </c>
      <c r="G649" s="15">
        <v>176.03</v>
      </c>
      <c r="H649" s="15">
        <f>Table2[[#This Row],[Profit]]/Table2[[#This Row],[Sales]]</f>
        <v>0.11512753433616743</v>
      </c>
    </row>
    <row r="650" spans="1:8" ht="12" customHeight="1" x14ac:dyDescent="0.3">
      <c r="A650" s="13">
        <v>2649</v>
      </c>
      <c r="B650" s="14" t="s">
        <v>348</v>
      </c>
      <c r="C650" s="13" t="s">
        <v>403</v>
      </c>
      <c r="D650" s="13" t="s">
        <v>407</v>
      </c>
      <c r="E650" s="13" t="s">
        <v>411</v>
      </c>
      <c r="F650" s="15">
        <v>7024</v>
      </c>
      <c r="G650" s="15">
        <v>1831.48</v>
      </c>
      <c r="H650" s="15">
        <f>Table2[[#This Row],[Profit]]/Table2[[#This Row],[Sales]]</f>
        <v>0.26074601366742595</v>
      </c>
    </row>
    <row r="651" spans="1:8" ht="12" customHeight="1" x14ac:dyDescent="0.3">
      <c r="A651" s="13">
        <v>2650</v>
      </c>
      <c r="B651" s="14" t="s">
        <v>138</v>
      </c>
      <c r="C651" s="13" t="s">
        <v>401</v>
      </c>
      <c r="D651" s="13" t="s">
        <v>407</v>
      </c>
      <c r="E651" s="13" t="s">
        <v>412</v>
      </c>
      <c r="F651" s="15">
        <v>6124</v>
      </c>
      <c r="G651" s="15">
        <v>1376.15</v>
      </c>
      <c r="H651" s="15">
        <f>Table2[[#This Row],[Profit]]/Table2[[#This Row],[Sales]]</f>
        <v>0.2247142390594383</v>
      </c>
    </row>
    <row r="652" spans="1:8" ht="12" customHeight="1" x14ac:dyDescent="0.3">
      <c r="A652" s="13">
        <v>2651</v>
      </c>
      <c r="B652" s="14" t="s">
        <v>65</v>
      </c>
      <c r="C652" s="13" t="s">
        <v>401</v>
      </c>
      <c r="D652" s="13" t="s">
        <v>407</v>
      </c>
      <c r="E652" s="13" t="s">
        <v>413</v>
      </c>
      <c r="F652" s="15">
        <v>27450</v>
      </c>
      <c r="G652" s="15">
        <v>2986.96</v>
      </c>
      <c r="H652" s="15">
        <f>Table2[[#This Row],[Profit]]/Table2[[#This Row],[Sales]]</f>
        <v>0.10881457194899818</v>
      </c>
    </row>
    <row r="653" spans="1:8" ht="12" customHeight="1" x14ac:dyDescent="0.3">
      <c r="A653" s="13">
        <v>2652</v>
      </c>
      <c r="B653" s="14" t="s">
        <v>45</v>
      </c>
      <c r="C653" s="13" t="s">
        <v>402</v>
      </c>
      <c r="D653" s="13" t="s">
        <v>407</v>
      </c>
      <c r="E653" s="13" t="s">
        <v>413</v>
      </c>
      <c r="F653" s="15">
        <v>7259</v>
      </c>
      <c r="G653" s="15">
        <v>1306.0899999999999</v>
      </c>
      <c r="H653" s="15">
        <f>Table2[[#This Row],[Profit]]/Table2[[#This Row],[Sales]]</f>
        <v>0.17992698718831793</v>
      </c>
    </row>
    <row r="654" spans="1:8" ht="12" customHeight="1" x14ac:dyDescent="0.3">
      <c r="A654" s="13">
        <v>2653</v>
      </c>
      <c r="B654" s="14" t="s">
        <v>87</v>
      </c>
      <c r="C654" s="13" t="s">
        <v>403</v>
      </c>
      <c r="D654" s="13" t="s">
        <v>406</v>
      </c>
      <c r="E654" s="13" t="s">
        <v>413</v>
      </c>
      <c r="F654" s="15">
        <v>18239</v>
      </c>
      <c r="G654" s="15">
        <v>1657.88</v>
      </c>
      <c r="H654" s="15">
        <f>Table2[[#This Row],[Profit]]/Table2[[#This Row],[Sales]]</f>
        <v>9.089752727671474E-2</v>
      </c>
    </row>
    <row r="655" spans="1:8" ht="12" customHeight="1" x14ac:dyDescent="0.3">
      <c r="A655" s="13">
        <v>2654</v>
      </c>
      <c r="B655" s="14" t="s">
        <v>117</v>
      </c>
      <c r="C655" s="13" t="s">
        <v>403</v>
      </c>
      <c r="D655" s="13" t="s">
        <v>410</v>
      </c>
      <c r="E655" s="13" t="s">
        <v>413</v>
      </c>
      <c r="F655" s="15">
        <v>12523</v>
      </c>
      <c r="G655" s="15">
        <v>2585.29</v>
      </c>
      <c r="H655" s="15">
        <f>Table2[[#This Row],[Profit]]/Table2[[#This Row],[Sales]]</f>
        <v>0.20644334424658628</v>
      </c>
    </row>
    <row r="656" spans="1:8" ht="12" customHeight="1" x14ac:dyDescent="0.3">
      <c r="A656" s="13">
        <v>2655</v>
      </c>
      <c r="B656" s="14" t="s">
        <v>253</v>
      </c>
      <c r="C656" s="13" t="s">
        <v>401</v>
      </c>
      <c r="D656" s="13" t="s">
        <v>405</v>
      </c>
      <c r="E656" s="13" t="s">
        <v>412</v>
      </c>
      <c r="F656" s="15">
        <v>9660</v>
      </c>
      <c r="G656" s="15">
        <v>2797.98</v>
      </c>
      <c r="H656" s="15">
        <f>Table2[[#This Row],[Profit]]/Table2[[#This Row],[Sales]]</f>
        <v>0.28964596273291926</v>
      </c>
    </row>
    <row r="657" spans="1:8" ht="12" customHeight="1" x14ac:dyDescent="0.3">
      <c r="A657" s="13">
        <v>2656</v>
      </c>
      <c r="B657" s="14" t="s">
        <v>195</v>
      </c>
      <c r="C657" s="13" t="s">
        <v>401</v>
      </c>
      <c r="D657" s="13" t="s">
        <v>405</v>
      </c>
      <c r="E657" s="13" t="s">
        <v>413</v>
      </c>
      <c r="F657" s="15">
        <v>25404</v>
      </c>
      <c r="G657" s="15">
        <v>2363.4899999999998</v>
      </c>
      <c r="H657" s="15">
        <f>Table2[[#This Row],[Profit]]/Table2[[#This Row],[Sales]]</f>
        <v>9.3036136041568254E-2</v>
      </c>
    </row>
    <row r="658" spans="1:8" ht="12" customHeight="1" x14ac:dyDescent="0.3">
      <c r="A658" s="13">
        <v>2657</v>
      </c>
      <c r="B658" s="14" t="s">
        <v>349</v>
      </c>
      <c r="C658" s="13" t="s">
        <v>403</v>
      </c>
      <c r="D658" s="13" t="s">
        <v>409</v>
      </c>
      <c r="E658" s="13" t="s">
        <v>413</v>
      </c>
      <c r="F658" s="15">
        <v>18343</v>
      </c>
      <c r="G658" s="15">
        <v>4006.05</v>
      </c>
      <c r="H658" s="15">
        <f>Table2[[#This Row],[Profit]]/Table2[[#This Row],[Sales]]</f>
        <v>0.21839666357738649</v>
      </c>
    </row>
    <row r="659" spans="1:8" ht="12" customHeight="1" x14ac:dyDescent="0.3">
      <c r="A659" s="13">
        <v>2658</v>
      </c>
      <c r="B659" s="14" t="s">
        <v>151</v>
      </c>
      <c r="C659" s="13" t="s">
        <v>402</v>
      </c>
      <c r="D659" s="13" t="s">
        <v>406</v>
      </c>
      <c r="E659" s="13" t="s">
        <v>412</v>
      </c>
      <c r="F659" s="15">
        <v>13846</v>
      </c>
      <c r="G659" s="15">
        <v>3142.68</v>
      </c>
      <c r="H659" s="15">
        <f>Table2[[#This Row],[Profit]]/Table2[[#This Row],[Sales]]</f>
        <v>0.22697385526505848</v>
      </c>
    </row>
    <row r="660" spans="1:8" ht="12" customHeight="1" x14ac:dyDescent="0.3">
      <c r="A660" s="13">
        <v>2659</v>
      </c>
      <c r="B660" s="14" t="s">
        <v>43</v>
      </c>
      <c r="C660" s="13" t="s">
        <v>402</v>
      </c>
      <c r="D660" s="13" t="s">
        <v>407</v>
      </c>
      <c r="E660" s="13" t="s">
        <v>411</v>
      </c>
      <c r="F660" s="15">
        <v>12336</v>
      </c>
      <c r="G660" s="15">
        <v>2555.12</v>
      </c>
      <c r="H660" s="15">
        <f>Table2[[#This Row],[Profit]]/Table2[[#This Row],[Sales]]</f>
        <v>0.20712710765239947</v>
      </c>
    </row>
    <row r="661" spans="1:8" ht="12" customHeight="1" x14ac:dyDescent="0.3">
      <c r="A661" s="13">
        <v>2660</v>
      </c>
      <c r="B661" s="14" t="s">
        <v>153</v>
      </c>
      <c r="C661" s="13" t="s">
        <v>402</v>
      </c>
      <c r="D661" s="13" t="s">
        <v>405</v>
      </c>
      <c r="E661" s="13" t="s">
        <v>411</v>
      </c>
      <c r="F661" s="15">
        <v>16397</v>
      </c>
      <c r="G661" s="15">
        <v>3097.39</v>
      </c>
      <c r="H661" s="15">
        <f>Table2[[#This Row],[Profit]]/Table2[[#This Row],[Sales]]</f>
        <v>0.1888997987436726</v>
      </c>
    </row>
    <row r="662" spans="1:8" ht="12" customHeight="1" x14ac:dyDescent="0.3">
      <c r="A662" s="13">
        <v>2661</v>
      </c>
      <c r="B662" s="14" t="s">
        <v>40</v>
      </c>
      <c r="C662" s="13" t="s">
        <v>403</v>
      </c>
      <c r="D662" s="13" t="s">
        <v>407</v>
      </c>
      <c r="E662" s="13" t="s">
        <v>412</v>
      </c>
      <c r="F662" s="15">
        <v>22269</v>
      </c>
      <c r="G662" s="15">
        <v>3044.12</v>
      </c>
      <c r="H662" s="15">
        <f>Table2[[#This Row],[Profit]]/Table2[[#This Row],[Sales]]</f>
        <v>0.13669765144371099</v>
      </c>
    </row>
    <row r="663" spans="1:8" ht="12" customHeight="1" x14ac:dyDescent="0.3">
      <c r="A663" s="13">
        <v>2662</v>
      </c>
      <c r="B663" s="14" t="s">
        <v>268</v>
      </c>
      <c r="C663" s="13" t="s">
        <v>403</v>
      </c>
      <c r="D663" s="13" t="s">
        <v>405</v>
      </c>
      <c r="E663" s="13" t="s">
        <v>411</v>
      </c>
      <c r="F663" s="15">
        <v>16553</v>
      </c>
      <c r="G663" s="15">
        <v>4705.2299999999996</v>
      </c>
      <c r="H663" s="15">
        <f>Table2[[#This Row],[Profit]]/Table2[[#This Row],[Sales]]</f>
        <v>0.28425240137739383</v>
      </c>
    </row>
    <row r="664" spans="1:8" ht="12" customHeight="1" x14ac:dyDescent="0.3">
      <c r="A664" s="13">
        <v>2663</v>
      </c>
      <c r="B664" s="14" t="s">
        <v>350</v>
      </c>
      <c r="C664" s="13" t="s">
        <v>401</v>
      </c>
      <c r="D664" s="13" t="s">
        <v>407</v>
      </c>
      <c r="E664" s="13" t="s">
        <v>413</v>
      </c>
      <c r="F664" s="15">
        <v>27317</v>
      </c>
      <c r="G664" s="15">
        <v>3444.17</v>
      </c>
      <c r="H664" s="15">
        <f>Table2[[#This Row],[Profit]]/Table2[[#This Row],[Sales]]</f>
        <v>0.1260815609327525</v>
      </c>
    </row>
    <row r="665" spans="1:8" ht="12" customHeight="1" x14ac:dyDescent="0.3">
      <c r="A665" s="13">
        <v>2664</v>
      </c>
      <c r="B665" s="14" t="s">
        <v>53</v>
      </c>
      <c r="C665" s="13" t="s">
        <v>402</v>
      </c>
      <c r="D665" s="13" t="s">
        <v>409</v>
      </c>
      <c r="E665" s="13" t="s">
        <v>413</v>
      </c>
      <c r="F665" s="15">
        <v>19512</v>
      </c>
      <c r="G665" s="15">
        <v>2018.58</v>
      </c>
      <c r="H665" s="15">
        <f>Table2[[#This Row],[Profit]]/Table2[[#This Row],[Sales]]</f>
        <v>0.10345325953259532</v>
      </c>
    </row>
    <row r="666" spans="1:8" ht="12" customHeight="1" x14ac:dyDescent="0.3">
      <c r="A666" s="13">
        <v>2665</v>
      </c>
      <c r="B666" s="14" t="s">
        <v>271</v>
      </c>
      <c r="C666" s="13" t="s">
        <v>402</v>
      </c>
      <c r="D666" s="13" t="s">
        <v>407</v>
      </c>
      <c r="E666" s="13" t="s">
        <v>413</v>
      </c>
      <c r="F666" s="15">
        <v>17231</v>
      </c>
      <c r="G666" s="15">
        <v>2103.63</v>
      </c>
      <c r="H666" s="15">
        <f>Table2[[#This Row],[Profit]]/Table2[[#This Row],[Sales]]</f>
        <v>0.12208403458882247</v>
      </c>
    </row>
    <row r="667" spans="1:8" ht="12" customHeight="1" x14ac:dyDescent="0.3">
      <c r="A667" s="13">
        <v>2666</v>
      </c>
      <c r="B667" s="14" t="s">
        <v>328</v>
      </c>
      <c r="C667" s="13" t="s">
        <v>401</v>
      </c>
      <c r="D667" s="13" t="s">
        <v>407</v>
      </c>
      <c r="E667" s="13" t="s">
        <v>412</v>
      </c>
      <c r="F667" s="15">
        <v>29105</v>
      </c>
      <c r="G667" s="15">
        <v>4001.53</v>
      </c>
      <c r="H667" s="15">
        <f>Table2[[#This Row],[Profit]]/Table2[[#This Row],[Sales]]</f>
        <v>0.13748599896924929</v>
      </c>
    </row>
    <row r="668" spans="1:8" ht="12" customHeight="1" x14ac:dyDescent="0.3">
      <c r="A668" s="13">
        <v>2667</v>
      </c>
      <c r="B668" s="14" t="s">
        <v>182</v>
      </c>
      <c r="C668" s="13" t="s">
        <v>403</v>
      </c>
      <c r="D668" s="13" t="s">
        <v>405</v>
      </c>
      <c r="E668" s="13" t="s">
        <v>411</v>
      </c>
      <c r="F668" s="15">
        <v>19489</v>
      </c>
      <c r="G668" s="15">
        <v>3954.67</v>
      </c>
      <c r="H668" s="15">
        <f>Table2[[#This Row],[Profit]]/Table2[[#This Row],[Sales]]</f>
        <v>0.20291805633947355</v>
      </c>
    </row>
    <row r="669" spans="1:8" ht="12" customHeight="1" x14ac:dyDescent="0.3">
      <c r="A669" s="13">
        <v>2668</v>
      </c>
      <c r="B669" s="14" t="s">
        <v>107</v>
      </c>
      <c r="C669" s="13" t="s">
        <v>404</v>
      </c>
      <c r="D669" s="13" t="s">
        <v>407</v>
      </c>
      <c r="E669" s="13" t="s">
        <v>411</v>
      </c>
      <c r="F669" s="15">
        <v>18077</v>
      </c>
      <c r="G669" s="15">
        <v>3644.56</v>
      </c>
      <c r="H669" s="15">
        <f>Table2[[#This Row],[Profit]]/Table2[[#This Row],[Sales]]</f>
        <v>0.20161309951872544</v>
      </c>
    </row>
    <row r="670" spans="1:8" ht="12" customHeight="1" x14ac:dyDescent="0.3">
      <c r="A670" s="13">
        <v>2669</v>
      </c>
      <c r="B670" s="14" t="s">
        <v>351</v>
      </c>
      <c r="C670" s="13" t="s">
        <v>403</v>
      </c>
      <c r="D670" s="13" t="s">
        <v>406</v>
      </c>
      <c r="E670" s="13" t="s">
        <v>411</v>
      </c>
      <c r="F670" s="15">
        <v>3394</v>
      </c>
      <c r="G670" s="15">
        <v>807.44</v>
      </c>
      <c r="H670" s="15">
        <f>Table2[[#This Row],[Profit]]/Table2[[#This Row],[Sales]]</f>
        <v>0.23790218031820862</v>
      </c>
    </row>
    <row r="671" spans="1:8" ht="12" customHeight="1" x14ac:dyDescent="0.3">
      <c r="A671" s="13">
        <v>2670</v>
      </c>
      <c r="B671" s="14" t="s">
        <v>78</v>
      </c>
      <c r="C671" s="13" t="s">
        <v>402</v>
      </c>
      <c r="D671" s="13" t="s">
        <v>409</v>
      </c>
      <c r="E671" s="13" t="s">
        <v>413</v>
      </c>
      <c r="F671" s="15">
        <v>11569</v>
      </c>
      <c r="G671" s="15">
        <v>3115.8</v>
      </c>
      <c r="H671" s="15">
        <f>Table2[[#This Row],[Profit]]/Table2[[#This Row],[Sales]]</f>
        <v>0.26932319128706028</v>
      </c>
    </row>
    <row r="672" spans="1:8" ht="12" customHeight="1" x14ac:dyDescent="0.3">
      <c r="A672" s="13">
        <v>2671</v>
      </c>
      <c r="B672" s="14" t="s">
        <v>352</v>
      </c>
      <c r="C672" s="13" t="s">
        <v>403</v>
      </c>
      <c r="D672" s="13" t="s">
        <v>405</v>
      </c>
      <c r="E672" s="13" t="s">
        <v>413</v>
      </c>
      <c r="F672" s="15">
        <v>4182</v>
      </c>
      <c r="G672" s="15">
        <v>461.71</v>
      </c>
      <c r="H672" s="15">
        <f>Table2[[#This Row],[Profit]]/Table2[[#This Row],[Sales]]</f>
        <v>0.11040411286465805</v>
      </c>
    </row>
    <row r="673" spans="1:8" ht="12" customHeight="1" x14ac:dyDescent="0.3">
      <c r="A673" s="13">
        <v>2672</v>
      </c>
      <c r="B673" s="14" t="s">
        <v>30</v>
      </c>
      <c r="C673" s="13" t="s">
        <v>402</v>
      </c>
      <c r="D673" s="13" t="s">
        <v>406</v>
      </c>
      <c r="E673" s="13" t="s">
        <v>413</v>
      </c>
      <c r="F673" s="15">
        <v>8514</v>
      </c>
      <c r="G673" s="15">
        <v>2187.46</v>
      </c>
      <c r="H673" s="15">
        <f>Table2[[#This Row],[Profit]]/Table2[[#This Row],[Sales]]</f>
        <v>0.25692506459948322</v>
      </c>
    </row>
    <row r="674" spans="1:8" ht="12" customHeight="1" x14ac:dyDescent="0.3">
      <c r="A674" s="13">
        <v>2673</v>
      </c>
      <c r="B674" s="14" t="s">
        <v>353</v>
      </c>
      <c r="C674" s="13" t="s">
        <v>402</v>
      </c>
      <c r="D674" s="13" t="s">
        <v>406</v>
      </c>
      <c r="E674" s="13" t="s">
        <v>412</v>
      </c>
      <c r="F674" s="15">
        <v>18699</v>
      </c>
      <c r="G674" s="15">
        <v>2002.46</v>
      </c>
      <c r="H674" s="15">
        <f>Table2[[#This Row],[Profit]]/Table2[[#This Row],[Sales]]</f>
        <v>0.10708914915236109</v>
      </c>
    </row>
    <row r="675" spans="1:8" ht="12" customHeight="1" x14ac:dyDescent="0.3">
      <c r="A675" s="13">
        <v>2674</v>
      </c>
      <c r="B675" s="14" t="s">
        <v>73</v>
      </c>
      <c r="C675" s="13" t="s">
        <v>401</v>
      </c>
      <c r="D675" s="13" t="s">
        <v>406</v>
      </c>
      <c r="E675" s="13" t="s">
        <v>412</v>
      </c>
      <c r="F675" s="15">
        <v>8623</v>
      </c>
      <c r="G675" s="15">
        <v>1800.76</v>
      </c>
      <c r="H675" s="15">
        <f>Table2[[#This Row],[Profit]]/Table2[[#This Row],[Sales]]</f>
        <v>0.20883219297228342</v>
      </c>
    </row>
    <row r="676" spans="1:8" ht="12" customHeight="1" x14ac:dyDescent="0.3">
      <c r="A676" s="13">
        <v>2675</v>
      </c>
      <c r="B676" s="14" t="s">
        <v>271</v>
      </c>
      <c r="C676" s="13" t="s">
        <v>403</v>
      </c>
      <c r="D676" s="13" t="s">
        <v>406</v>
      </c>
      <c r="E676" s="13" t="s">
        <v>411</v>
      </c>
      <c r="F676" s="15">
        <v>9030</v>
      </c>
      <c r="G676" s="15">
        <v>1590.44</v>
      </c>
      <c r="H676" s="15">
        <f>Table2[[#This Row],[Profit]]/Table2[[#This Row],[Sales]]</f>
        <v>0.17612846068660024</v>
      </c>
    </row>
    <row r="677" spans="1:8" ht="12" customHeight="1" x14ac:dyDescent="0.3">
      <c r="A677" s="13">
        <v>2676</v>
      </c>
      <c r="B677" s="14" t="s">
        <v>191</v>
      </c>
      <c r="C677" s="13" t="s">
        <v>403</v>
      </c>
      <c r="D677" s="13" t="s">
        <v>407</v>
      </c>
      <c r="E677" s="13" t="s">
        <v>413</v>
      </c>
      <c r="F677" s="15">
        <v>8643</v>
      </c>
      <c r="G677" s="15">
        <v>1319.54</v>
      </c>
      <c r="H677" s="15">
        <f>Table2[[#This Row],[Profit]]/Table2[[#This Row],[Sales]]</f>
        <v>0.15267152609047785</v>
      </c>
    </row>
    <row r="678" spans="1:8" ht="12" customHeight="1" x14ac:dyDescent="0.3">
      <c r="A678" s="13">
        <v>2677</v>
      </c>
      <c r="B678" s="14" t="s">
        <v>354</v>
      </c>
      <c r="C678" s="13" t="s">
        <v>402</v>
      </c>
      <c r="D678" s="13" t="s">
        <v>406</v>
      </c>
      <c r="E678" s="13" t="s">
        <v>413</v>
      </c>
      <c r="F678" s="15">
        <v>5058</v>
      </c>
      <c r="G678" s="15">
        <v>1101.54</v>
      </c>
      <c r="H678" s="15">
        <f>Table2[[#This Row],[Profit]]/Table2[[#This Row],[Sales]]</f>
        <v>0.21778173190984579</v>
      </c>
    </row>
    <row r="679" spans="1:8" ht="12" customHeight="1" x14ac:dyDescent="0.3">
      <c r="A679" s="13">
        <v>2678</v>
      </c>
      <c r="B679" s="14" t="s">
        <v>208</v>
      </c>
      <c r="C679" s="13" t="s">
        <v>402</v>
      </c>
      <c r="D679" s="13" t="s">
        <v>406</v>
      </c>
      <c r="E679" s="13" t="s">
        <v>412</v>
      </c>
      <c r="F679" s="15">
        <v>16495</v>
      </c>
      <c r="G679" s="15">
        <v>3632.62</v>
      </c>
      <c r="H679" s="15">
        <f>Table2[[#This Row],[Profit]]/Table2[[#This Row],[Sales]]</f>
        <v>0.22022552288572295</v>
      </c>
    </row>
    <row r="680" spans="1:8" ht="12" customHeight="1" x14ac:dyDescent="0.3">
      <c r="A680" s="13">
        <v>2679</v>
      </c>
      <c r="B680" s="14" t="s">
        <v>24</v>
      </c>
      <c r="C680" s="13" t="s">
        <v>402</v>
      </c>
      <c r="D680" s="13" t="s">
        <v>409</v>
      </c>
      <c r="E680" s="13" t="s">
        <v>413</v>
      </c>
      <c r="F680" s="15">
        <v>6477</v>
      </c>
      <c r="G680" s="15">
        <v>1374.81</v>
      </c>
      <c r="H680" s="15">
        <f>Table2[[#This Row],[Profit]]/Table2[[#This Row],[Sales]]</f>
        <v>0.21226030569708199</v>
      </c>
    </row>
    <row r="681" spans="1:8" ht="12" customHeight="1" x14ac:dyDescent="0.3">
      <c r="A681" s="13">
        <v>2680</v>
      </c>
      <c r="B681" s="14" t="s">
        <v>355</v>
      </c>
      <c r="C681" s="13" t="s">
        <v>404</v>
      </c>
      <c r="D681" s="13" t="s">
        <v>409</v>
      </c>
      <c r="E681" s="13" t="s">
        <v>412</v>
      </c>
      <c r="F681" s="15">
        <v>8737</v>
      </c>
      <c r="G681" s="15">
        <v>734.03</v>
      </c>
      <c r="H681" s="15">
        <f>Table2[[#This Row],[Profit]]/Table2[[#This Row],[Sales]]</f>
        <v>8.4013963603067413E-2</v>
      </c>
    </row>
    <row r="682" spans="1:8" ht="12" customHeight="1" x14ac:dyDescent="0.3">
      <c r="A682" s="13">
        <v>2681</v>
      </c>
      <c r="B682" s="14" t="s">
        <v>8</v>
      </c>
      <c r="C682" s="13" t="s">
        <v>403</v>
      </c>
      <c r="D682" s="13" t="s">
        <v>406</v>
      </c>
      <c r="E682" s="13" t="s">
        <v>411</v>
      </c>
      <c r="F682" s="15">
        <v>1440</v>
      </c>
      <c r="G682" s="15">
        <v>151.35</v>
      </c>
      <c r="H682" s="15">
        <f>Table2[[#This Row],[Profit]]/Table2[[#This Row],[Sales]]</f>
        <v>0.10510416666666667</v>
      </c>
    </row>
    <row r="683" spans="1:8" ht="12" customHeight="1" x14ac:dyDescent="0.3">
      <c r="A683" s="13">
        <v>2682</v>
      </c>
      <c r="B683" s="14" t="s">
        <v>35</v>
      </c>
      <c r="C683" s="13" t="s">
        <v>401</v>
      </c>
      <c r="D683" s="13" t="s">
        <v>407</v>
      </c>
      <c r="E683" s="13" t="s">
        <v>413</v>
      </c>
      <c r="F683" s="15">
        <v>28734</v>
      </c>
      <c r="G683" s="15">
        <v>7406.92</v>
      </c>
      <c r="H683" s="15">
        <f>Table2[[#This Row],[Profit]]/Table2[[#This Row],[Sales]]</f>
        <v>0.2577754576459943</v>
      </c>
    </row>
    <row r="684" spans="1:8" ht="12" customHeight="1" x14ac:dyDescent="0.3">
      <c r="A684" s="13">
        <v>2683</v>
      </c>
      <c r="B684" s="14" t="s">
        <v>15</v>
      </c>
      <c r="C684" s="13" t="s">
        <v>401</v>
      </c>
      <c r="D684" s="13" t="s">
        <v>410</v>
      </c>
      <c r="E684" s="13" t="s">
        <v>412</v>
      </c>
      <c r="F684" s="15">
        <v>17399</v>
      </c>
      <c r="G684" s="15">
        <v>1536.45</v>
      </c>
      <c r="H684" s="15">
        <f>Table2[[#This Row],[Profit]]/Table2[[#This Row],[Sales]]</f>
        <v>8.8306799241335707E-2</v>
      </c>
    </row>
    <row r="685" spans="1:8" ht="12" customHeight="1" x14ac:dyDescent="0.3">
      <c r="A685" s="13">
        <v>2684</v>
      </c>
      <c r="B685" s="14" t="s">
        <v>93</v>
      </c>
      <c r="C685" s="13" t="s">
        <v>403</v>
      </c>
      <c r="D685" s="13" t="s">
        <v>405</v>
      </c>
      <c r="E685" s="13" t="s">
        <v>411</v>
      </c>
      <c r="F685" s="15">
        <v>1015</v>
      </c>
      <c r="G685" s="15">
        <v>249.49</v>
      </c>
      <c r="H685" s="15">
        <f>Table2[[#This Row],[Profit]]/Table2[[#This Row],[Sales]]</f>
        <v>0.24580295566502464</v>
      </c>
    </row>
    <row r="686" spans="1:8" ht="12" customHeight="1" x14ac:dyDescent="0.3">
      <c r="A686" s="13">
        <v>2685</v>
      </c>
      <c r="B686" s="14" t="s">
        <v>160</v>
      </c>
      <c r="C686" s="13" t="s">
        <v>404</v>
      </c>
      <c r="D686" s="13" t="s">
        <v>405</v>
      </c>
      <c r="E686" s="13" t="s">
        <v>412</v>
      </c>
      <c r="F686" s="15">
        <v>12171</v>
      </c>
      <c r="G686" s="15">
        <v>3266.78</v>
      </c>
      <c r="H686" s="15">
        <f>Table2[[#This Row],[Profit]]/Table2[[#This Row],[Sales]]</f>
        <v>0.26840686878645964</v>
      </c>
    </row>
    <row r="687" spans="1:8" ht="12" customHeight="1" x14ac:dyDescent="0.3">
      <c r="A687" s="13">
        <v>2686</v>
      </c>
      <c r="B687" s="14" t="s">
        <v>108</v>
      </c>
      <c r="C687" s="13" t="s">
        <v>402</v>
      </c>
      <c r="D687" s="13" t="s">
        <v>407</v>
      </c>
      <c r="E687" s="13" t="s">
        <v>413</v>
      </c>
      <c r="F687" s="15">
        <v>17377</v>
      </c>
      <c r="G687" s="15">
        <v>2929.14</v>
      </c>
      <c r="H687" s="15">
        <f>Table2[[#This Row],[Profit]]/Table2[[#This Row],[Sales]]</f>
        <v>0.16856419404960579</v>
      </c>
    </row>
    <row r="688" spans="1:8" ht="12" customHeight="1" x14ac:dyDescent="0.3">
      <c r="A688" s="13">
        <v>2687</v>
      </c>
      <c r="B688" s="14" t="s">
        <v>356</v>
      </c>
      <c r="C688" s="13" t="s">
        <v>404</v>
      </c>
      <c r="D688" s="13" t="s">
        <v>405</v>
      </c>
      <c r="E688" s="13" t="s">
        <v>412</v>
      </c>
      <c r="F688" s="15">
        <v>15736</v>
      </c>
      <c r="G688" s="15">
        <v>4702.12</v>
      </c>
      <c r="H688" s="15">
        <f>Table2[[#This Row],[Profit]]/Table2[[#This Row],[Sales]]</f>
        <v>0.29881291306558211</v>
      </c>
    </row>
    <row r="689" spans="1:8" ht="12" customHeight="1" x14ac:dyDescent="0.3">
      <c r="A689" s="13">
        <v>2688</v>
      </c>
      <c r="B689" s="14" t="s">
        <v>328</v>
      </c>
      <c r="C689" s="13" t="s">
        <v>402</v>
      </c>
      <c r="D689" s="13" t="s">
        <v>406</v>
      </c>
      <c r="E689" s="13" t="s">
        <v>411</v>
      </c>
      <c r="F689" s="15">
        <v>20359</v>
      </c>
      <c r="G689" s="15">
        <v>5672.88</v>
      </c>
      <c r="H689" s="15">
        <f>Table2[[#This Row],[Profit]]/Table2[[#This Row],[Sales]]</f>
        <v>0.27864236946804855</v>
      </c>
    </row>
    <row r="690" spans="1:8" ht="12" customHeight="1" x14ac:dyDescent="0.3">
      <c r="A690" s="13">
        <v>2689</v>
      </c>
      <c r="B690" s="14" t="s">
        <v>357</v>
      </c>
      <c r="C690" s="13" t="s">
        <v>403</v>
      </c>
      <c r="D690" s="13" t="s">
        <v>410</v>
      </c>
      <c r="E690" s="13" t="s">
        <v>413</v>
      </c>
      <c r="F690" s="15">
        <v>14586</v>
      </c>
      <c r="G690" s="15">
        <v>3056.66</v>
      </c>
      <c r="H690" s="15">
        <f>Table2[[#This Row],[Profit]]/Table2[[#This Row],[Sales]]</f>
        <v>0.20956122309063485</v>
      </c>
    </row>
    <row r="691" spans="1:8" ht="12" customHeight="1" x14ac:dyDescent="0.3">
      <c r="A691" s="13">
        <v>2690</v>
      </c>
      <c r="B691" s="14" t="s">
        <v>358</v>
      </c>
      <c r="C691" s="13" t="s">
        <v>401</v>
      </c>
      <c r="D691" s="13" t="s">
        <v>406</v>
      </c>
      <c r="E691" s="13" t="s">
        <v>412</v>
      </c>
      <c r="F691" s="15">
        <v>9928</v>
      </c>
      <c r="G691" s="15">
        <v>1272.74</v>
      </c>
      <c r="H691" s="15">
        <f>Table2[[#This Row],[Profit]]/Table2[[#This Row],[Sales]]</f>
        <v>0.12819701853344079</v>
      </c>
    </row>
    <row r="692" spans="1:8" ht="12" customHeight="1" x14ac:dyDescent="0.3">
      <c r="A692" s="13">
        <v>2691</v>
      </c>
      <c r="B692" s="14" t="s">
        <v>297</v>
      </c>
      <c r="C692" s="13" t="s">
        <v>401</v>
      </c>
      <c r="D692" s="13" t="s">
        <v>407</v>
      </c>
      <c r="E692" s="13" t="s">
        <v>411</v>
      </c>
      <c r="F692" s="15">
        <v>18118</v>
      </c>
      <c r="G692" s="15">
        <v>5374.07</v>
      </c>
      <c r="H692" s="15">
        <f>Table2[[#This Row],[Profit]]/Table2[[#This Row],[Sales]]</f>
        <v>0.29661496853957386</v>
      </c>
    </row>
    <row r="693" spans="1:8" ht="12" customHeight="1" x14ac:dyDescent="0.3">
      <c r="A693" s="13">
        <v>2692</v>
      </c>
      <c r="B693" s="14" t="s">
        <v>187</v>
      </c>
      <c r="C693" s="13" t="s">
        <v>401</v>
      </c>
      <c r="D693" s="13" t="s">
        <v>409</v>
      </c>
      <c r="E693" s="13" t="s">
        <v>412</v>
      </c>
      <c r="F693" s="15">
        <v>11093</v>
      </c>
      <c r="G693" s="15">
        <v>3169.19</v>
      </c>
      <c r="H693" s="15">
        <f>Table2[[#This Row],[Profit]]/Table2[[#This Row],[Sales]]</f>
        <v>0.28569277923014513</v>
      </c>
    </row>
    <row r="694" spans="1:8" ht="12" customHeight="1" x14ac:dyDescent="0.3">
      <c r="A694" s="13">
        <v>2693</v>
      </c>
      <c r="B694" s="14" t="s">
        <v>47</v>
      </c>
      <c r="C694" s="13" t="s">
        <v>404</v>
      </c>
      <c r="D694" s="13" t="s">
        <v>410</v>
      </c>
      <c r="E694" s="13" t="s">
        <v>413</v>
      </c>
      <c r="F694" s="15">
        <v>25389</v>
      </c>
      <c r="G694" s="15">
        <v>2353.96</v>
      </c>
      <c r="H694" s="15">
        <f>Table2[[#This Row],[Profit]]/Table2[[#This Row],[Sales]]</f>
        <v>9.2715743038323681E-2</v>
      </c>
    </row>
    <row r="695" spans="1:8" ht="12" customHeight="1" x14ac:dyDescent="0.3">
      <c r="A695" s="13">
        <v>2694</v>
      </c>
      <c r="B695" s="14" t="s">
        <v>224</v>
      </c>
      <c r="C695" s="13" t="s">
        <v>403</v>
      </c>
      <c r="D695" s="13" t="s">
        <v>406</v>
      </c>
      <c r="E695" s="13" t="s">
        <v>413</v>
      </c>
      <c r="F695" s="15">
        <v>12733</v>
      </c>
      <c r="G695" s="15">
        <v>2026.56</v>
      </c>
      <c r="H695" s="15">
        <f>Table2[[#This Row],[Profit]]/Table2[[#This Row],[Sales]]</f>
        <v>0.15915809314379958</v>
      </c>
    </row>
    <row r="696" spans="1:8" ht="12" customHeight="1" x14ac:dyDescent="0.3">
      <c r="A696" s="13">
        <v>2695</v>
      </c>
      <c r="B696" s="14" t="s">
        <v>237</v>
      </c>
      <c r="C696" s="13" t="s">
        <v>402</v>
      </c>
      <c r="D696" s="13" t="s">
        <v>408</v>
      </c>
      <c r="E696" s="13" t="s">
        <v>411</v>
      </c>
      <c r="F696" s="15">
        <v>2717</v>
      </c>
      <c r="G696" s="15">
        <v>510.65</v>
      </c>
      <c r="H696" s="15">
        <f>Table2[[#This Row],[Profit]]/Table2[[#This Row],[Sales]]</f>
        <v>0.18794626426205371</v>
      </c>
    </row>
    <row r="697" spans="1:8" ht="12" customHeight="1" x14ac:dyDescent="0.3">
      <c r="A697" s="13">
        <v>2696</v>
      </c>
      <c r="B697" s="14" t="s">
        <v>19</v>
      </c>
      <c r="C697" s="13" t="s">
        <v>404</v>
      </c>
      <c r="D697" s="13" t="s">
        <v>407</v>
      </c>
      <c r="E697" s="13" t="s">
        <v>411</v>
      </c>
      <c r="F697" s="15">
        <v>4556</v>
      </c>
      <c r="G697" s="15">
        <v>1140.07</v>
      </c>
      <c r="H697" s="15">
        <f>Table2[[#This Row],[Profit]]/Table2[[#This Row],[Sales]]</f>
        <v>0.25023485513608429</v>
      </c>
    </row>
    <row r="698" spans="1:8" ht="12" customHeight="1" x14ac:dyDescent="0.3">
      <c r="A698" s="13">
        <v>2697</v>
      </c>
      <c r="B698" s="14" t="s">
        <v>95</v>
      </c>
      <c r="C698" s="13" t="s">
        <v>403</v>
      </c>
      <c r="D698" s="13" t="s">
        <v>409</v>
      </c>
      <c r="E698" s="13" t="s">
        <v>411</v>
      </c>
      <c r="F698" s="15">
        <v>1657</v>
      </c>
      <c r="G698" s="15">
        <v>175.57</v>
      </c>
      <c r="H698" s="15">
        <f>Table2[[#This Row],[Profit]]/Table2[[#This Row],[Sales]]</f>
        <v>0.10595654797827399</v>
      </c>
    </row>
    <row r="699" spans="1:8" ht="12" customHeight="1" x14ac:dyDescent="0.3">
      <c r="A699" s="13">
        <v>2698</v>
      </c>
      <c r="B699" s="14" t="s">
        <v>58</v>
      </c>
      <c r="C699" s="13" t="s">
        <v>402</v>
      </c>
      <c r="D699" s="13" t="s">
        <v>405</v>
      </c>
      <c r="E699" s="13" t="s">
        <v>413</v>
      </c>
      <c r="F699" s="15">
        <v>27210</v>
      </c>
      <c r="G699" s="15">
        <v>7815.01</v>
      </c>
      <c r="H699" s="15">
        <f>Table2[[#This Row],[Profit]]/Table2[[#This Row],[Sales]]</f>
        <v>0.28721095185593531</v>
      </c>
    </row>
    <row r="700" spans="1:8" ht="12" customHeight="1" x14ac:dyDescent="0.3">
      <c r="A700" s="13">
        <v>2699</v>
      </c>
      <c r="B700" s="14" t="s">
        <v>175</v>
      </c>
      <c r="C700" s="13" t="s">
        <v>402</v>
      </c>
      <c r="D700" s="13" t="s">
        <v>407</v>
      </c>
      <c r="E700" s="13" t="s">
        <v>412</v>
      </c>
      <c r="F700" s="15">
        <v>12148</v>
      </c>
      <c r="G700" s="15">
        <v>2151.81</v>
      </c>
      <c r="H700" s="15">
        <f>Table2[[#This Row],[Profit]]/Table2[[#This Row],[Sales]]</f>
        <v>0.17713286137635825</v>
      </c>
    </row>
    <row r="701" spans="1:8" ht="12" customHeight="1" x14ac:dyDescent="0.3">
      <c r="A701" s="13">
        <v>2700</v>
      </c>
      <c r="B701" s="14" t="s">
        <v>20</v>
      </c>
      <c r="C701" s="13" t="s">
        <v>401</v>
      </c>
      <c r="D701" s="13" t="s">
        <v>409</v>
      </c>
      <c r="E701" s="13" t="s">
        <v>413</v>
      </c>
      <c r="F701" s="15">
        <v>21167</v>
      </c>
      <c r="G701" s="15">
        <v>4237.9799999999996</v>
      </c>
      <c r="H701" s="15">
        <f>Table2[[#This Row],[Profit]]/Table2[[#This Row],[Sales]]</f>
        <v>0.20021637454528274</v>
      </c>
    </row>
    <row r="702" spans="1:8" ht="12" customHeight="1" x14ac:dyDescent="0.3">
      <c r="A702" s="13">
        <v>2701</v>
      </c>
      <c r="B702" s="14" t="s">
        <v>51</v>
      </c>
      <c r="C702" s="13" t="s">
        <v>404</v>
      </c>
      <c r="D702" s="13" t="s">
        <v>407</v>
      </c>
      <c r="E702" s="13" t="s">
        <v>412</v>
      </c>
      <c r="F702" s="15">
        <v>15734</v>
      </c>
      <c r="G702" s="15">
        <v>1388.63</v>
      </c>
      <c r="H702" s="15">
        <f>Table2[[#This Row],[Profit]]/Table2[[#This Row],[Sales]]</f>
        <v>8.8256641667725955E-2</v>
      </c>
    </row>
    <row r="703" spans="1:8" ht="12" customHeight="1" x14ac:dyDescent="0.3">
      <c r="A703" s="13">
        <v>2702</v>
      </c>
      <c r="B703" s="14" t="s">
        <v>300</v>
      </c>
      <c r="C703" s="13" t="s">
        <v>403</v>
      </c>
      <c r="D703" s="13" t="s">
        <v>405</v>
      </c>
      <c r="E703" s="13" t="s">
        <v>413</v>
      </c>
      <c r="F703" s="15">
        <v>12947</v>
      </c>
      <c r="G703" s="15">
        <v>3046.88</v>
      </c>
      <c r="H703" s="15">
        <f>Table2[[#This Row],[Profit]]/Table2[[#This Row],[Sales]]</f>
        <v>0.23533482660075694</v>
      </c>
    </row>
    <row r="704" spans="1:8" ht="12" customHeight="1" x14ac:dyDescent="0.3">
      <c r="A704" s="13">
        <v>2703</v>
      </c>
      <c r="B704" s="14" t="s">
        <v>269</v>
      </c>
      <c r="C704" s="13" t="s">
        <v>401</v>
      </c>
      <c r="D704" s="13" t="s">
        <v>407</v>
      </c>
      <c r="E704" s="13" t="s">
        <v>411</v>
      </c>
      <c r="F704" s="15">
        <v>24145</v>
      </c>
      <c r="G704" s="15">
        <v>3564.98</v>
      </c>
      <c r="H704" s="15">
        <f>Table2[[#This Row],[Profit]]/Table2[[#This Row],[Sales]]</f>
        <v>0.14764878856906191</v>
      </c>
    </row>
    <row r="705" spans="1:8" ht="12" customHeight="1" x14ac:dyDescent="0.3">
      <c r="A705" s="13">
        <v>2704</v>
      </c>
      <c r="B705" s="14" t="s">
        <v>177</v>
      </c>
      <c r="C705" s="13" t="s">
        <v>402</v>
      </c>
      <c r="D705" s="13" t="s">
        <v>410</v>
      </c>
      <c r="E705" s="13" t="s">
        <v>413</v>
      </c>
      <c r="F705" s="15">
        <v>5359</v>
      </c>
      <c r="G705" s="15">
        <v>774.2</v>
      </c>
      <c r="H705" s="15">
        <f>Table2[[#This Row],[Profit]]/Table2[[#This Row],[Sales]]</f>
        <v>0.14446725135286434</v>
      </c>
    </row>
    <row r="706" spans="1:8" ht="12" customHeight="1" x14ac:dyDescent="0.3">
      <c r="A706" s="13">
        <v>2705</v>
      </c>
      <c r="B706" s="14" t="s">
        <v>339</v>
      </c>
      <c r="C706" s="13" t="s">
        <v>404</v>
      </c>
      <c r="D706" s="13" t="s">
        <v>407</v>
      </c>
      <c r="E706" s="13" t="s">
        <v>412</v>
      </c>
      <c r="F706" s="15">
        <v>12629</v>
      </c>
      <c r="G706" s="15">
        <v>3539.16</v>
      </c>
      <c r="H706" s="15">
        <f>Table2[[#This Row],[Profit]]/Table2[[#This Row],[Sales]]</f>
        <v>0.28024071581281179</v>
      </c>
    </row>
    <row r="707" spans="1:8" ht="12" customHeight="1" x14ac:dyDescent="0.3">
      <c r="A707" s="13">
        <v>2706</v>
      </c>
      <c r="B707" s="14" t="s">
        <v>229</v>
      </c>
      <c r="C707" s="13" t="s">
        <v>404</v>
      </c>
      <c r="D707" s="13" t="s">
        <v>405</v>
      </c>
      <c r="E707" s="13" t="s">
        <v>412</v>
      </c>
      <c r="F707" s="15">
        <v>15986</v>
      </c>
      <c r="G707" s="15">
        <v>2402.15</v>
      </c>
      <c r="H707" s="15">
        <f>Table2[[#This Row],[Profit]]/Table2[[#This Row],[Sales]]</f>
        <v>0.15026585762542224</v>
      </c>
    </row>
    <row r="708" spans="1:8" ht="12" customHeight="1" x14ac:dyDescent="0.3">
      <c r="A708" s="13">
        <v>2707</v>
      </c>
      <c r="B708" s="14" t="s">
        <v>127</v>
      </c>
      <c r="C708" s="13" t="s">
        <v>401</v>
      </c>
      <c r="D708" s="13" t="s">
        <v>410</v>
      </c>
      <c r="E708" s="13" t="s">
        <v>413</v>
      </c>
      <c r="F708" s="15">
        <v>15587</v>
      </c>
      <c r="G708" s="15">
        <v>4617.6000000000004</v>
      </c>
      <c r="H708" s="15">
        <f>Table2[[#This Row],[Profit]]/Table2[[#This Row],[Sales]]</f>
        <v>0.29624687239366143</v>
      </c>
    </row>
    <row r="709" spans="1:8" ht="12" customHeight="1" x14ac:dyDescent="0.3">
      <c r="A709" s="13">
        <v>2708</v>
      </c>
      <c r="B709" s="14" t="s">
        <v>160</v>
      </c>
      <c r="C709" s="13" t="s">
        <v>403</v>
      </c>
      <c r="D709" s="13" t="s">
        <v>410</v>
      </c>
      <c r="E709" s="13" t="s">
        <v>413</v>
      </c>
      <c r="F709" s="15">
        <v>13785</v>
      </c>
      <c r="G709" s="15">
        <v>2377.27</v>
      </c>
      <c r="H709" s="15">
        <f>Table2[[#This Row],[Profit]]/Table2[[#This Row],[Sales]]</f>
        <v>0.17245339136742835</v>
      </c>
    </row>
    <row r="710" spans="1:8" ht="12" customHeight="1" x14ac:dyDescent="0.3">
      <c r="A710" s="13">
        <v>2709</v>
      </c>
      <c r="B710" s="14" t="s">
        <v>359</v>
      </c>
      <c r="C710" s="13" t="s">
        <v>401</v>
      </c>
      <c r="D710" s="13" t="s">
        <v>409</v>
      </c>
      <c r="E710" s="13" t="s">
        <v>411</v>
      </c>
      <c r="F710" s="15">
        <v>18971</v>
      </c>
      <c r="G710" s="15">
        <v>4841.21</v>
      </c>
      <c r="H710" s="15">
        <f>Table2[[#This Row],[Profit]]/Table2[[#This Row],[Sales]]</f>
        <v>0.25519002688313741</v>
      </c>
    </row>
    <row r="711" spans="1:8" ht="12" customHeight="1" x14ac:dyDescent="0.3">
      <c r="A711" s="13">
        <v>2710</v>
      </c>
      <c r="B711" s="14" t="s">
        <v>276</v>
      </c>
      <c r="C711" s="13" t="s">
        <v>403</v>
      </c>
      <c r="D711" s="13" t="s">
        <v>410</v>
      </c>
      <c r="E711" s="13" t="s">
        <v>411</v>
      </c>
      <c r="F711" s="15">
        <v>26265</v>
      </c>
      <c r="G711" s="15">
        <v>6122.29</v>
      </c>
      <c r="H711" s="15">
        <f>Table2[[#This Row],[Profit]]/Table2[[#This Row],[Sales]]</f>
        <v>0.23309689701123168</v>
      </c>
    </row>
    <row r="712" spans="1:8" ht="12" customHeight="1" x14ac:dyDescent="0.3">
      <c r="A712" s="13">
        <v>2711</v>
      </c>
      <c r="B712" s="14" t="s">
        <v>63</v>
      </c>
      <c r="C712" s="13" t="s">
        <v>403</v>
      </c>
      <c r="D712" s="13" t="s">
        <v>408</v>
      </c>
      <c r="E712" s="13" t="s">
        <v>411</v>
      </c>
      <c r="F712" s="15">
        <v>22096</v>
      </c>
      <c r="G712" s="15">
        <v>2956.51</v>
      </c>
      <c r="H712" s="15">
        <f>Table2[[#This Row],[Profit]]/Table2[[#This Row],[Sales]]</f>
        <v>0.13380295076031862</v>
      </c>
    </row>
    <row r="713" spans="1:8" ht="12" customHeight="1" x14ac:dyDescent="0.3">
      <c r="A713" s="13">
        <v>2712</v>
      </c>
      <c r="B713" s="14" t="s">
        <v>216</v>
      </c>
      <c r="C713" s="13" t="s">
        <v>404</v>
      </c>
      <c r="D713" s="13" t="s">
        <v>407</v>
      </c>
      <c r="E713" s="13" t="s">
        <v>412</v>
      </c>
      <c r="F713" s="15">
        <v>16752</v>
      </c>
      <c r="G713" s="15">
        <v>2853.38</v>
      </c>
      <c r="H713" s="15">
        <f>Table2[[#This Row],[Profit]]/Table2[[#This Row],[Sales]]</f>
        <v>0.17033070678127984</v>
      </c>
    </row>
    <row r="714" spans="1:8" ht="12" customHeight="1" x14ac:dyDescent="0.3">
      <c r="A714" s="13">
        <v>2713</v>
      </c>
      <c r="B714" s="14" t="s">
        <v>242</v>
      </c>
      <c r="C714" s="13" t="s">
        <v>402</v>
      </c>
      <c r="D714" s="13" t="s">
        <v>407</v>
      </c>
      <c r="E714" s="13" t="s">
        <v>411</v>
      </c>
      <c r="F714" s="15">
        <v>28972</v>
      </c>
      <c r="G714" s="15">
        <v>8401.5300000000007</v>
      </c>
      <c r="H714" s="15">
        <f>Table2[[#This Row],[Profit]]/Table2[[#This Row],[Sales]]</f>
        <v>0.28998791937042662</v>
      </c>
    </row>
    <row r="715" spans="1:8" ht="12" customHeight="1" x14ac:dyDescent="0.3">
      <c r="A715" s="13">
        <v>2714</v>
      </c>
      <c r="B715" s="14" t="s">
        <v>238</v>
      </c>
      <c r="C715" s="13" t="s">
        <v>404</v>
      </c>
      <c r="D715" s="13" t="s">
        <v>410</v>
      </c>
      <c r="E715" s="13" t="s">
        <v>412</v>
      </c>
      <c r="F715" s="15">
        <v>8814</v>
      </c>
      <c r="G715" s="15">
        <v>1724.9</v>
      </c>
      <c r="H715" s="15">
        <f>Table2[[#This Row],[Profit]]/Table2[[#This Row],[Sales]]</f>
        <v>0.19570002269117315</v>
      </c>
    </row>
    <row r="716" spans="1:8" ht="12" customHeight="1" x14ac:dyDescent="0.3">
      <c r="A716" s="13">
        <v>2715</v>
      </c>
      <c r="B716" s="14" t="s">
        <v>228</v>
      </c>
      <c r="C716" s="13" t="s">
        <v>401</v>
      </c>
      <c r="D716" s="13" t="s">
        <v>407</v>
      </c>
      <c r="E716" s="13" t="s">
        <v>413</v>
      </c>
      <c r="F716" s="15">
        <v>5162</v>
      </c>
      <c r="G716" s="15">
        <v>539.22</v>
      </c>
      <c r="H716" s="15">
        <f>Table2[[#This Row],[Profit]]/Table2[[#This Row],[Sales]]</f>
        <v>0.10445951181712515</v>
      </c>
    </row>
    <row r="717" spans="1:8" ht="12" customHeight="1" x14ac:dyDescent="0.3">
      <c r="A717" s="13">
        <v>2716</v>
      </c>
      <c r="B717" s="14" t="s">
        <v>93</v>
      </c>
      <c r="C717" s="13" t="s">
        <v>401</v>
      </c>
      <c r="D717" s="13" t="s">
        <v>406</v>
      </c>
      <c r="E717" s="13" t="s">
        <v>411</v>
      </c>
      <c r="F717" s="15">
        <v>8074</v>
      </c>
      <c r="G717" s="15">
        <v>806.4</v>
      </c>
      <c r="H717" s="15">
        <f>Table2[[#This Row],[Profit]]/Table2[[#This Row],[Sales]]</f>
        <v>9.9876145652712411E-2</v>
      </c>
    </row>
    <row r="718" spans="1:8" ht="12" customHeight="1" x14ac:dyDescent="0.3">
      <c r="A718" s="13">
        <v>2717</v>
      </c>
      <c r="B718" s="14" t="s">
        <v>308</v>
      </c>
      <c r="C718" s="13" t="s">
        <v>402</v>
      </c>
      <c r="D718" s="13" t="s">
        <v>406</v>
      </c>
      <c r="E718" s="13" t="s">
        <v>413</v>
      </c>
      <c r="F718" s="15">
        <v>15644</v>
      </c>
      <c r="G718" s="15">
        <v>3316.62</v>
      </c>
      <c r="H718" s="15">
        <f>Table2[[#This Row],[Profit]]/Table2[[#This Row],[Sales]]</f>
        <v>0.21200588084888775</v>
      </c>
    </row>
    <row r="719" spans="1:8" ht="12" customHeight="1" x14ac:dyDescent="0.3">
      <c r="A719" s="13">
        <v>2718</v>
      </c>
      <c r="B719" s="14" t="s">
        <v>350</v>
      </c>
      <c r="C719" s="13" t="s">
        <v>404</v>
      </c>
      <c r="D719" s="13" t="s">
        <v>409</v>
      </c>
      <c r="E719" s="13" t="s">
        <v>411</v>
      </c>
      <c r="F719" s="15">
        <v>3526</v>
      </c>
      <c r="G719" s="15">
        <v>388.53</v>
      </c>
      <c r="H719" s="15">
        <f>Table2[[#This Row],[Profit]]/Table2[[#This Row],[Sales]]</f>
        <v>0.11019001701644923</v>
      </c>
    </row>
    <row r="720" spans="1:8" ht="12" customHeight="1" x14ac:dyDescent="0.3">
      <c r="A720" s="13">
        <v>2719</v>
      </c>
      <c r="B720" s="14" t="s">
        <v>279</v>
      </c>
      <c r="C720" s="13" t="s">
        <v>402</v>
      </c>
      <c r="D720" s="13" t="s">
        <v>408</v>
      </c>
      <c r="E720" s="13" t="s">
        <v>411</v>
      </c>
      <c r="F720" s="15">
        <v>15269</v>
      </c>
      <c r="G720" s="15">
        <v>4471.7</v>
      </c>
      <c r="H720" s="15">
        <f>Table2[[#This Row],[Profit]]/Table2[[#This Row],[Sales]]</f>
        <v>0.29286135306830835</v>
      </c>
    </row>
    <row r="721" spans="1:8" ht="12" customHeight="1" x14ac:dyDescent="0.3">
      <c r="A721" s="13">
        <v>2720</v>
      </c>
      <c r="B721" s="14" t="s">
        <v>34</v>
      </c>
      <c r="C721" s="13" t="s">
        <v>401</v>
      </c>
      <c r="D721" s="13" t="s">
        <v>409</v>
      </c>
      <c r="E721" s="13" t="s">
        <v>412</v>
      </c>
      <c r="F721" s="15">
        <v>21763</v>
      </c>
      <c r="G721" s="15">
        <v>6199.39</v>
      </c>
      <c r="H721" s="15">
        <f>Table2[[#This Row],[Profit]]/Table2[[#This Row],[Sales]]</f>
        <v>0.28485916463722832</v>
      </c>
    </row>
    <row r="722" spans="1:8" ht="12" customHeight="1" x14ac:dyDescent="0.3">
      <c r="A722" s="13">
        <v>2721</v>
      </c>
      <c r="B722" s="14" t="s">
        <v>261</v>
      </c>
      <c r="C722" s="13" t="s">
        <v>402</v>
      </c>
      <c r="D722" s="13" t="s">
        <v>405</v>
      </c>
      <c r="E722" s="13" t="s">
        <v>412</v>
      </c>
      <c r="F722" s="15">
        <v>11359</v>
      </c>
      <c r="G722" s="15">
        <v>1261.97</v>
      </c>
      <c r="H722" s="15">
        <f>Table2[[#This Row],[Profit]]/Table2[[#This Row],[Sales]]</f>
        <v>0.11109868826481205</v>
      </c>
    </row>
    <row r="723" spans="1:8" ht="12" customHeight="1" x14ac:dyDescent="0.3">
      <c r="A723" s="13">
        <v>2722</v>
      </c>
      <c r="B723" s="14" t="s">
        <v>59</v>
      </c>
      <c r="C723" s="13" t="s">
        <v>401</v>
      </c>
      <c r="D723" s="13" t="s">
        <v>410</v>
      </c>
      <c r="E723" s="13" t="s">
        <v>411</v>
      </c>
      <c r="F723" s="15">
        <v>21755</v>
      </c>
      <c r="G723" s="15">
        <v>2639.33</v>
      </c>
      <c r="H723" s="15">
        <f>Table2[[#This Row],[Profit]]/Table2[[#This Row],[Sales]]</f>
        <v>0.12132061595035623</v>
      </c>
    </row>
    <row r="724" spans="1:8" ht="12" customHeight="1" x14ac:dyDescent="0.3">
      <c r="A724" s="13">
        <v>2723</v>
      </c>
      <c r="B724" s="14" t="s">
        <v>339</v>
      </c>
      <c r="C724" s="13" t="s">
        <v>401</v>
      </c>
      <c r="D724" s="13" t="s">
        <v>407</v>
      </c>
      <c r="E724" s="13" t="s">
        <v>412</v>
      </c>
      <c r="F724" s="15">
        <v>25751</v>
      </c>
      <c r="G724" s="15">
        <v>5397.7</v>
      </c>
      <c r="H724" s="15">
        <f>Table2[[#This Row],[Profit]]/Table2[[#This Row],[Sales]]</f>
        <v>0.20961127723195214</v>
      </c>
    </row>
    <row r="725" spans="1:8" ht="12" customHeight="1" x14ac:dyDescent="0.3">
      <c r="A725" s="13">
        <v>2724</v>
      </c>
      <c r="B725" s="14" t="s">
        <v>337</v>
      </c>
      <c r="C725" s="13" t="s">
        <v>404</v>
      </c>
      <c r="D725" s="13" t="s">
        <v>405</v>
      </c>
      <c r="E725" s="13" t="s">
        <v>411</v>
      </c>
      <c r="F725" s="15">
        <v>13022</v>
      </c>
      <c r="G725" s="15">
        <v>1223.79</v>
      </c>
      <c r="H725" s="15">
        <f>Table2[[#This Row],[Profit]]/Table2[[#This Row],[Sales]]</f>
        <v>9.3978651512824446E-2</v>
      </c>
    </row>
    <row r="726" spans="1:8" ht="12" customHeight="1" x14ac:dyDescent="0.3">
      <c r="A726" s="13">
        <v>2725</v>
      </c>
      <c r="B726" s="14" t="s">
        <v>314</v>
      </c>
      <c r="C726" s="13" t="s">
        <v>404</v>
      </c>
      <c r="D726" s="13" t="s">
        <v>409</v>
      </c>
      <c r="E726" s="13" t="s">
        <v>411</v>
      </c>
      <c r="F726" s="15">
        <v>1483</v>
      </c>
      <c r="G726" s="15">
        <v>443</v>
      </c>
      <c r="H726" s="15">
        <f>Table2[[#This Row],[Profit]]/Table2[[#This Row],[Sales]]</f>
        <v>0.29871881321645316</v>
      </c>
    </row>
    <row r="727" spans="1:8" ht="12" customHeight="1" x14ac:dyDescent="0.3">
      <c r="A727" s="13">
        <v>2726</v>
      </c>
      <c r="B727" s="14" t="s">
        <v>58</v>
      </c>
      <c r="C727" s="13" t="s">
        <v>403</v>
      </c>
      <c r="D727" s="13" t="s">
        <v>407</v>
      </c>
      <c r="E727" s="13" t="s">
        <v>413</v>
      </c>
      <c r="F727" s="15">
        <v>2833</v>
      </c>
      <c r="G727" s="15">
        <v>551.96</v>
      </c>
      <c r="H727" s="15">
        <f>Table2[[#This Row],[Profit]]/Table2[[#This Row],[Sales]]</f>
        <v>0.19483233321567245</v>
      </c>
    </row>
    <row r="728" spans="1:8" ht="12" customHeight="1" x14ac:dyDescent="0.3">
      <c r="A728" s="13">
        <v>2727</v>
      </c>
      <c r="B728" s="14" t="s">
        <v>360</v>
      </c>
      <c r="C728" s="13" t="s">
        <v>401</v>
      </c>
      <c r="D728" s="13" t="s">
        <v>407</v>
      </c>
      <c r="E728" s="13" t="s">
        <v>412</v>
      </c>
      <c r="F728" s="15">
        <v>5434</v>
      </c>
      <c r="G728" s="15">
        <v>1210.18</v>
      </c>
      <c r="H728" s="15">
        <f>Table2[[#This Row],[Profit]]/Table2[[#This Row],[Sales]]</f>
        <v>0.22270518954729482</v>
      </c>
    </row>
    <row r="729" spans="1:8" ht="12" customHeight="1" x14ac:dyDescent="0.3">
      <c r="A729" s="13">
        <v>2728</v>
      </c>
      <c r="B729" s="14" t="s">
        <v>359</v>
      </c>
      <c r="C729" s="13" t="s">
        <v>403</v>
      </c>
      <c r="D729" s="13" t="s">
        <v>407</v>
      </c>
      <c r="E729" s="13" t="s">
        <v>413</v>
      </c>
      <c r="F729" s="15">
        <v>9417</v>
      </c>
      <c r="G729" s="15">
        <v>1219.06</v>
      </c>
      <c r="H729" s="15">
        <f>Table2[[#This Row],[Profit]]/Table2[[#This Row],[Sales]]</f>
        <v>0.1294531167038335</v>
      </c>
    </row>
    <row r="730" spans="1:8" ht="12" customHeight="1" x14ac:dyDescent="0.3">
      <c r="A730" s="13">
        <v>2729</v>
      </c>
      <c r="B730" s="14" t="s">
        <v>361</v>
      </c>
      <c r="C730" s="13" t="s">
        <v>403</v>
      </c>
      <c r="D730" s="13" t="s">
        <v>409</v>
      </c>
      <c r="E730" s="13" t="s">
        <v>413</v>
      </c>
      <c r="F730" s="15">
        <v>7635</v>
      </c>
      <c r="G730" s="15">
        <v>2021.99</v>
      </c>
      <c r="H730" s="15">
        <f>Table2[[#This Row],[Profit]]/Table2[[#This Row],[Sales]]</f>
        <v>0.26483169613621482</v>
      </c>
    </row>
    <row r="731" spans="1:8" ht="12" customHeight="1" x14ac:dyDescent="0.3">
      <c r="A731" s="13">
        <v>2730</v>
      </c>
      <c r="B731" s="14" t="s">
        <v>262</v>
      </c>
      <c r="C731" s="13" t="s">
        <v>401</v>
      </c>
      <c r="D731" s="13" t="s">
        <v>406</v>
      </c>
      <c r="E731" s="13" t="s">
        <v>412</v>
      </c>
      <c r="F731" s="15">
        <v>19142</v>
      </c>
      <c r="G731" s="15">
        <v>1901.8</v>
      </c>
      <c r="H731" s="15">
        <f>Table2[[#This Row],[Profit]]/Table2[[#This Row],[Sales]]</f>
        <v>9.9352209800438823E-2</v>
      </c>
    </row>
    <row r="732" spans="1:8" ht="12" customHeight="1" x14ac:dyDescent="0.3">
      <c r="A732" s="13">
        <v>2731</v>
      </c>
      <c r="B732" s="14" t="s">
        <v>82</v>
      </c>
      <c r="C732" s="13" t="s">
        <v>402</v>
      </c>
      <c r="D732" s="13" t="s">
        <v>409</v>
      </c>
      <c r="E732" s="13" t="s">
        <v>411</v>
      </c>
      <c r="F732" s="15">
        <v>9090</v>
      </c>
      <c r="G732" s="15">
        <v>851.94</v>
      </c>
      <c r="H732" s="15">
        <f>Table2[[#This Row],[Profit]]/Table2[[#This Row],[Sales]]</f>
        <v>9.3722772277227723E-2</v>
      </c>
    </row>
    <row r="733" spans="1:8" ht="12" customHeight="1" x14ac:dyDescent="0.3">
      <c r="A733" s="13">
        <v>2732</v>
      </c>
      <c r="B733" s="14" t="s">
        <v>96</v>
      </c>
      <c r="C733" s="13" t="s">
        <v>404</v>
      </c>
      <c r="D733" s="13" t="s">
        <v>407</v>
      </c>
      <c r="E733" s="13" t="s">
        <v>413</v>
      </c>
      <c r="F733" s="15">
        <v>7820</v>
      </c>
      <c r="G733" s="15">
        <v>1418.66</v>
      </c>
      <c r="H733" s="15">
        <f>Table2[[#This Row],[Profit]]/Table2[[#This Row],[Sales]]</f>
        <v>0.18141432225063939</v>
      </c>
    </row>
    <row r="734" spans="1:8" ht="12" customHeight="1" x14ac:dyDescent="0.3">
      <c r="A734" s="13">
        <v>2733</v>
      </c>
      <c r="B734" s="14" t="s">
        <v>73</v>
      </c>
      <c r="C734" s="13" t="s">
        <v>404</v>
      </c>
      <c r="D734" s="13" t="s">
        <v>405</v>
      </c>
      <c r="E734" s="13" t="s">
        <v>411</v>
      </c>
      <c r="F734" s="15">
        <v>26828</v>
      </c>
      <c r="G734" s="15">
        <v>3471.16</v>
      </c>
      <c r="H734" s="15">
        <f>Table2[[#This Row],[Profit]]/Table2[[#This Row],[Sales]]</f>
        <v>0.12938571641568511</v>
      </c>
    </row>
    <row r="735" spans="1:8" ht="12" customHeight="1" x14ac:dyDescent="0.3">
      <c r="A735" s="13">
        <v>2734</v>
      </c>
      <c r="B735" s="14" t="s">
        <v>360</v>
      </c>
      <c r="C735" s="13" t="s">
        <v>403</v>
      </c>
      <c r="D735" s="13" t="s">
        <v>405</v>
      </c>
      <c r="E735" s="13" t="s">
        <v>413</v>
      </c>
      <c r="F735" s="15">
        <v>3170</v>
      </c>
      <c r="G735" s="15">
        <v>891.59</v>
      </c>
      <c r="H735" s="15">
        <f>Table2[[#This Row],[Profit]]/Table2[[#This Row],[Sales]]</f>
        <v>0.28125867507886437</v>
      </c>
    </row>
    <row r="736" spans="1:8" ht="12" customHeight="1" x14ac:dyDescent="0.3">
      <c r="A736" s="13">
        <v>2735</v>
      </c>
      <c r="B736" s="14" t="s">
        <v>105</v>
      </c>
      <c r="C736" s="13" t="s">
        <v>403</v>
      </c>
      <c r="D736" s="13" t="s">
        <v>409</v>
      </c>
      <c r="E736" s="13" t="s">
        <v>413</v>
      </c>
      <c r="F736" s="15">
        <v>8741</v>
      </c>
      <c r="G736" s="15">
        <v>1606.44</v>
      </c>
      <c r="H736" s="15">
        <f>Table2[[#This Row],[Profit]]/Table2[[#This Row],[Sales]]</f>
        <v>0.1837821759524082</v>
      </c>
    </row>
    <row r="737" spans="1:8" ht="12" customHeight="1" x14ac:dyDescent="0.3">
      <c r="A737" s="13">
        <v>2736</v>
      </c>
      <c r="B737" s="14" t="s">
        <v>150</v>
      </c>
      <c r="C737" s="13" t="s">
        <v>404</v>
      </c>
      <c r="D737" s="13" t="s">
        <v>407</v>
      </c>
      <c r="E737" s="13" t="s">
        <v>413</v>
      </c>
      <c r="F737" s="15">
        <v>6913</v>
      </c>
      <c r="G737" s="15">
        <v>1542.38</v>
      </c>
      <c r="H737" s="15">
        <f>Table2[[#This Row],[Profit]]/Table2[[#This Row],[Sales]]</f>
        <v>0.22311297555330539</v>
      </c>
    </row>
    <row r="738" spans="1:8" ht="12" customHeight="1" x14ac:dyDescent="0.3">
      <c r="A738" s="13">
        <v>2737</v>
      </c>
      <c r="B738" s="14" t="s">
        <v>239</v>
      </c>
      <c r="C738" s="13" t="s">
        <v>403</v>
      </c>
      <c r="D738" s="13" t="s">
        <v>407</v>
      </c>
      <c r="E738" s="13" t="s">
        <v>412</v>
      </c>
      <c r="F738" s="15">
        <v>29259</v>
      </c>
      <c r="G738" s="15">
        <v>3502.02</v>
      </c>
      <c r="H738" s="15">
        <f>Table2[[#This Row],[Profit]]/Table2[[#This Row],[Sales]]</f>
        <v>0.11969035168666052</v>
      </c>
    </row>
    <row r="739" spans="1:8" ht="12" customHeight="1" x14ac:dyDescent="0.3">
      <c r="A739" s="13">
        <v>2738</v>
      </c>
      <c r="B739" s="14" t="s">
        <v>103</v>
      </c>
      <c r="C739" s="13" t="s">
        <v>401</v>
      </c>
      <c r="D739" s="13" t="s">
        <v>409</v>
      </c>
      <c r="E739" s="13" t="s">
        <v>412</v>
      </c>
      <c r="F739" s="15">
        <v>14364</v>
      </c>
      <c r="G739" s="15">
        <v>3451.8</v>
      </c>
      <c r="H739" s="15">
        <f>Table2[[#This Row],[Profit]]/Table2[[#This Row],[Sales]]</f>
        <v>0.24030910609857981</v>
      </c>
    </row>
    <row r="740" spans="1:8" ht="12" customHeight="1" x14ac:dyDescent="0.3">
      <c r="A740" s="13">
        <v>2739</v>
      </c>
      <c r="B740" s="14" t="s">
        <v>116</v>
      </c>
      <c r="C740" s="13" t="s">
        <v>401</v>
      </c>
      <c r="D740" s="13" t="s">
        <v>410</v>
      </c>
      <c r="E740" s="13" t="s">
        <v>412</v>
      </c>
      <c r="F740" s="15">
        <v>28003</v>
      </c>
      <c r="G740" s="15">
        <v>7739.94</v>
      </c>
      <c r="H740" s="15">
        <f>Table2[[#This Row],[Profit]]/Table2[[#This Row],[Sales]]</f>
        <v>0.27639681462700422</v>
      </c>
    </row>
    <row r="741" spans="1:8" ht="12" customHeight="1" x14ac:dyDescent="0.3">
      <c r="A741" s="13">
        <v>2740</v>
      </c>
      <c r="B741" s="14" t="s">
        <v>269</v>
      </c>
      <c r="C741" s="13" t="s">
        <v>403</v>
      </c>
      <c r="D741" s="13" t="s">
        <v>406</v>
      </c>
      <c r="E741" s="13" t="s">
        <v>413</v>
      </c>
      <c r="F741" s="15">
        <v>18112</v>
      </c>
      <c r="G741" s="15">
        <v>3569.76</v>
      </c>
      <c r="H741" s="15">
        <f>Table2[[#This Row],[Profit]]/Table2[[#This Row],[Sales]]</f>
        <v>0.19709363957597173</v>
      </c>
    </row>
    <row r="742" spans="1:8" ht="12" customHeight="1" x14ac:dyDescent="0.3">
      <c r="A742" s="13">
        <v>2741</v>
      </c>
      <c r="B742" s="14" t="s">
        <v>133</v>
      </c>
      <c r="C742" s="13" t="s">
        <v>402</v>
      </c>
      <c r="D742" s="13" t="s">
        <v>405</v>
      </c>
      <c r="E742" s="13" t="s">
        <v>411</v>
      </c>
      <c r="F742" s="15">
        <v>24763</v>
      </c>
      <c r="G742" s="15">
        <v>6097.88</v>
      </c>
      <c r="H742" s="15">
        <f>Table2[[#This Row],[Profit]]/Table2[[#This Row],[Sales]]</f>
        <v>0.24624964665024432</v>
      </c>
    </row>
    <row r="743" spans="1:8" ht="12" customHeight="1" x14ac:dyDescent="0.3">
      <c r="A743" s="13">
        <v>2742</v>
      </c>
      <c r="B743" s="14" t="s">
        <v>108</v>
      </c>
      <c r="C743" s="13" t="s">
        <v>401</v>
      </c>
      <c r="D743" s="13" t="s">
        <v>410</v>
      </c>
      <c r="E743" s="13" t="s">
        <v>413</v>
      </c>
      <c r="F743" s="15">
        <v>18309</v>
      </c>
      <c r="G743" s="15">
        <v>3987</v>
      </c>
      <c r="H743" s="15">
        <f>Table2[[#This Row],[Profit]]/Table2[[#This Row],[Sales]]</f>
        <v>0.21776175651319024</v>
      </c>
    </row>
    <row r="744" spans="1:8" ht="12" customHeight="1" x14ac:dyDescent="0.3">
      <c r="A744" s="13">
        <v>2743</v>
      </c>
      <c r="B744" s="14" t="s">
        <v>362</v>
      </c>
      <c r="C744" s="13" t="s">
        <v>401</v>
      </c>
      <c r="D744" s="13" t="s">
        <v>405</v>
      </c>
      <c r="E744" s="13" t="s">
        <v>413</v>
      </c>
      <c r="F744" s="15">
        <v>9337</v>
      </c>
      <c r="G744" s="15">
        <v>773.55</v>
      </c>
      <c r="H744" s="15">
        <f>Table2[[#This Row],[Profit]]/Table2[[#This Row],[Sales]]</f>
        <v>8.2847809789011462E-2</v>
      </c>
    </row>
    <row r="745" spans="1:8" ht="12" customHeight="1" x14ac:dyDescent="0.3">
      <c r="A745" s="13">
        <v>2744</v>
      </c>
      <c r="B745" s="14" t="s">
        <v>241</v>
      </c>
      <c r="C745" s="13" t="s">
        <v>403</v>
      </c>
      <c r="D745" s="13" t="s">
        <v>408</v>
      </c>
      <c r="E745" s="13" t="s">
        <v>412</v>
      </c>
      <c r="F745" s="15">
        <v>20157</v>
      </c>
      <c r="G745" s="15">
        <v>6021.15</v>
      </c>
      <c r="H745" s="15">
        <f>Table2[[#This Row],[Profit]]/Table2[[#This Row],[Sales]]</f>
        <v>0.29871260604256583</v>
      </c>
    </row>
    <row r="746" spans="1:8" ht="12" customHeight="1" x14ac:dyDescent="0.3">
      <c r="A746" s="13">
        <v>2745</v>
      </c>
      <c r="B746" s="14" t="s">
        <v>247</v>
      </c>
      <c r="C746" s="13" t="s">
        <v>404</v>
      </c>
      <c r="D746" s="13" t="s">
        <v>410</v>
      </c>
      <c r="E746" s="13" t="s">
        <v>413</v>
      </c>
      <c r="F746" s="15">
        <v>12060</v>
      </c>
      <c r="G746" s="15">
        <v>1486.43</v>
      </c>
      <c r="H746" s="15">
        <f>Table2[[#This Row],[Profit]]/Table2[[#This Row],[Sales]]</f>
        <v>0.12325290215588723</v>
      </c>
    </row>
    <row r="747" spans="1:8" ht="12" customHeight="1" x14ac:dyDescent="0.3">
      <c r="A747" s="13">
        <v>2746</v>
      </c>
      <c r="B747" s="14" t="s">
        <v>110</v>
      </c>
      <c r="C747" s="13" t="s">
        <v>401</v>
      </c>
      <c r="D747" s="13" t="s">
        <v>406</v>
      </c>
      <c r="E747" s="13" t="s">
        <v>412</v>
      </c>
      <c r="F747" s="15">
        <v>23943</v>
      </c>
      <c r="G747" s="15">
        <v>4842.71</v>
      </c>
      <c r="H747" s="15">
        <f>Table2[[#This Row],[Profit]]/Table2[[#This Row],[Sales]]</f>
        <v>0.2022599507162845</v>
      </c>
    </row>
    <row r="748" spans="1:8" ht="12" customHeight="1" x14ac:dyDescent="0.3">
      <c r="A748" s="13">
        <v>2747</v>
      </c>
      <c r="B748" s="14" t="s">
        <v>316</v>
      </c>
      <c r="C748" s="13" t="s">
        <v>403</v>
      </c>
      <c r="D748" s="13" t="s">
        <v>408</v>
      </c>
      <c r="E748" s="13" t="s">
        <v>413</v>
      </c>
      <c r="F748" s="15">
        <v>15657</v>
      </c>
      <c r="G748" s="15">
        <v>1893.79</v>
      </c>
      <c r="H748" s="15">
        <f>Table2[[#This Row],[Profit]]/Table2[[#This Row],[Sales]]</f>
        <v>0.12095484447850802</v>
      </c>
    </row>
    <row r="749" spans="1:8" ht="12" customHeight="1" x14ac:dyDescent="0.3">
      <c r="A749" s="13">
        <v>2748</v>
      </c>
      <c r="B749" s="14" t="s">
        <v>222</v>
      </c>
      <c r="C749" s="13" t="s">
        <v>404</v>
      </c>
      <c r="D749" s="13" t="s">
        <v>405</v>
      </c>
      <c r="E749" s="13" t="s">
        <v>411</v>
      </c>
      <c r="F749" s="15">
        <v>25776</v>
      </c>
      <c r="G749" s="15">
        <v>4402.0200000000004</v>
      </c>
      <c r="H749" s="15">
        <f>Table2[[#This Row],[Profit]]/Table2[[#This Row],[Sales]]</f>
        <v>0.17077979515828678</v>
      </c>
    </row>
    <row r="750" spans="1:8" ht="12" customHeight="1" x14ac:dyDescent="0.3">
      <c r="A750" s="13">
        <v>2749</v>
      </c>
      <c r="B750" s="14" t="s">
        <v>289</v>
      </c>
      <c r="C750" s="13" t="s">
        <v>402</v>
      </c>
      <c r="D750" s="13" t="s">
        <v>410</v>
      </c>
      <c r="E750" s="13" t="s">
        <v>413</v>
      </c>
      <c r="F750" s="15">
        <v>22229</v>
      </c>
      <c r="G750" s="15">
        <v>2140.2800000000002</v>
      </c>
      <c r="H750" s="15">
        <f>Table2[[#This Row],[Profit]]/Table2[[#This Row],[Sales]]</f>
        <v>9.6283233613747812E-2</v>
      </c>
    </row>
    <row r="751" spans="1:8" ht="12" customHeight="1" x14ac:dyDescent="0.3">
      <c r="A751" s="13">
        <v>2750</v>
      </c>
      <c r="B751" s="14" t="s">
        <v>363</v>
      </c>
      <c r="C751" s="13" t="s">
        <v>404</v>
      </c>
      <c r="D751" s="13" t="s">
        <v>409</v>
      </c>
      <c r="E751" s="13" t="s">
        <v>413</v>
      </c>
      <c r="F751" s="15">
        <v>8226</v>
      </c>
      <c r="G751" s="15">
        <v>1899.35</v>
      </c>
      <c r="H751" s="15">
        <f>Table2[[#This Row],[Profit]]/Table2[[#This Row],[Sales]]</f>
        <v>0.23089593970337952</v>
      </c>
    </row>
    <row r="752" spans="1:8" ht="12" customHeight="1" x14ac:dyDescent="0.3">
      <c r="A752" s="13">
        <v>2751</v>
      </c>
      <c r="B752" s="14" t="s">
        <v>326</v>
      </c>
      <c r="C752" s="13" t="s">
        <v>402</v>
      </c>
      <c r="D752" s="13" t="s">
        <v>406</v>
      </c>
      <c r="E752" s="13" t="s">
        <v>413</v>
      </c>
      <c r="F752" s="15">
        <v>1963</v>
      </c>
      <c r="G752" s="15">
        <v>481.79</v>
      </c>
      <c r="H752" s="15">
        <f>Table2[[#This Row],[Profit]]/Table2[[#This Row],[Sales]]</f>
        <v>0.24543555781966378</v>
      </c>
    </row>
    <row r="753" spans="1:8" ht="12" customHeight="1" x14ac:dyDescent="0.3">
      <c r="A753" s="13">
        <v>2752</v>
      </c>
      <c r="B753" s="14" t="s">
        <v>277</v>
      </c>
      <c r="C753" s="13" t="s">
        <v>401</v>
      </c>
      <c r="D753" s="13" t="s">
        <v>406</v>
      </c>
      <c r="E753" s="13" t="s">
        <v>411</v>
      </c>
      <c r="F753" s="15">
        <v>28477</v>
      </c>
      <c r="G753" s="15">
        <v>7291.41</v>
      </c>
      <c r="H753" s="15">
        <f>Table2[[#This Row],[Profit]]/Table2[[#This Row],[Sales]]</f>
        <v>0.25604558064402849</v>
      </c>
    </row>
    <row r="754" spans="1:8" ht="12" customHeight="1" x14ac:dyDescent="0.3">
      <c r="A754" s="13">
        <v>2753</v>
      </c>
      <c r="B754" s="14" t="s">
        <v>245</v>
      </c>
      <c r="C754" s="13" t="s">
        <v>404</v>
      </c>
      <c r="D754" s="13" t="s">
        <v>406</v>
      </c>
      <c r="E754" s="13" t="s">
        <v>411</v>
      </c>
      <c r="F754" s="15">
        <v>9287</v>
      </c>
      <c r="G754" s="15">
        <v>1211.48</v>
      </c>
      <c r="H754" s="15">
        <f>Table2[[#This Row],[Profit]]/Table2[[#This Row],[Sales]]</f>
        <v>0.13044901475180359</v>
      </c>
    </row>
    <row r="755" spans="1:8" ht="12" customHeight="1" x14ac:dyDescent="0.3">
      <c r="A755" s="13">
        <v>2754</v>
      </c>
      <c r="B755" s="14" t="s">
        <v>151</v>
      </c>
      <c r="C755" s="13" t="s">
        <v>401</v>
      </c>
      <c r="D755" s="13" t="s">
        <v>406</v>
      </c>
      <c r="E755" s="13" t="s">
        <v>413</v>
      </c>
      <c r="F755" s="15">
        <v>14975</v>
      </c>
      <c r="G755" s="15">
        <v>3471.49</v>
      </c>
      <c r="H755" s="15">
        <f>Table2[[#This Row],[Profit]]/Table2[[#This Row],[Sales]]</f>
        <v>0.23181903171953255</v>
      </c>
    </row>
    <row r="756" spans="1:8" ht="12" customHeight="1" x14ac:dyDescent="0.3">
      <c r="A756" s="13">
        <v>2755</v>
      </c>
      <c r="B756" s="14" t="s">
        <v>319</v>
      </c>
      <c r="C756" s="13" t="s">
        <v>404</v>
      </c>
      <c r="D756" s="13" t="s">
        <v>406</v>
      </c>
      <c r="E756" s="13" t="s">
        <v>412</v>
      </c>
      <c r="F756" s="15">
        <v>4845</v>
      </c>
      <c r="G756" s="15">
        <v>1095.8499999999999</v>
      </c>
      <c r="H756" s="15">
        <f>Table2[[#This Row],[Profit]]/Table2[[#This Row],[Sales]]</f>
        <v>0.22618163054695561</v>
      </c>
    </row>
    <row r="757" spans="1:8" ht="12" customHeight="1" x14ac:dyDescent="0.3">
      <c r="A757" s="13">
        <v>2756</v>
      </c>
      <c r="B757" s="14" t="s">
        <v>76</v>
      </c>
      <c r="C757" s="13" t="s">
        <v>402</v>
      </c>
      <c r="D757" s="13" t="s">
        <v>407</v>
      </c>
      <c r="E757" s="13" t="s">
        <v>412</v>
      </c>
      <c r="F757" s="15">
        <v>22130</v>
      </c>
      <c r="G757" s="15">
        <v>2526.15</v>
      </c>
      <c r="H757" s="15">
        <f>Table2[[#This Row],[Profit]]/Table2[[#This Row],[Sales]]</f>
        <v>0.11415047446904655</v>
      </c>
    </row>
    <row r="758" spans="1:8" ht="12" customHeight="1" x14ac:dyDescent="0.3">
      <c r="A758" s="13">
        <v>2757</v>
      </c>
      <c r="B758" s="14" t="s">
        <v>364</v>
      </c>
      <c r="C758" s="13" t="s">
        <v>404</v>
      </c>
      <c r="D758" s="13" t="s">
        <v>405</v>
      </c>
      <c r="E758" s="13" t="s">
        <v>412</v>
      </c>
      <c r="F758" s="15">
        <v>16007</v>
      </c>
      <c r="G758" s="15">
        <v>4628.6499999999996</v>
      </c>
      <c r="H758" s="15">
        <f>Table2[[#This Row],[Profit]]/Table2[[#This Row],[Sales]]</f>
        <v>0.2891641156993815</v>
      </c>
    </row>
    <row r="759" spans="1:8" ht="12" customHeight="1" x14ac:dyDescent="0.3">
      <c r="A759" s="13">
        <v>2758</v>
      </c>
      <c r="B759" s="14" t="s">
        <v>314</v>
      </c>
      <c r="C759" s="13" t="s">
        <v>401</v>
      </c>
      <c r="D759" s="13" t="s">
        <v>410</v>
      </c>
      <c r="E759" s="13" t="s">
        <v>413</v>
      </c>
      <c r="F759" s="15">
        <v>23807</v>
      </c>
      <c r="G759" s="15">
        <v>5332.59</v>
      </c>
      <c r="H759" s="15">
        <f>Table2[[#This Row],[Profit]]/Table2[[#This Row],[Sales]]</f>
        <v>0.22399252320745999</v>
      </c>
    </row>
    <row r="760" spans="1:8" ht="12" customHeight="1" x14ac:dyDescent="0.3">
      <c r="A760" s="13">
        <v>2759</v>
      </c>
      <c r="B760" s="14" t="s">
        <v>323</v>
      </c>
      <c r="C760" s="13" t="s">
        <v>403</v>
      </c>
      <c r="D760" s="13" t="s">
        <v>405</v>
      </c>
      <c r="E760" s="13" t="s">
        <v>411</v>
      </c>
      <c r="F760" s="15">
        <v>10786</v>
      </c>
      <c r="G760" s="15">
        <v>1067.92</v>
      </c>
      <c r="H760" s="15">
        <f>Table2[[#This Row],[Profit]]/Table2[[#This Row],[Sales]]</f>
        <v>9.9009827554236984E-2</v>
      </c>
    </row>
    <row r="761" spans="1:8" ht="12" customHeight="1" x14ac:dyDescent="0.3">
      <c r="A761" s="13">
        <v>2760</v>
      </c>
      <c r="B761" s="14" t="s">
        <v>365</v>
      </c>
      <c r="C761" s="13" t="s">
        <v>401</v>
      </c>
      <c r="D761" s="13" t="s">
        <v>407</v>
      </c>
      <c r="E761" s="13" t="s">
        <v>411</v>
      </c>
      <c r="F761" s="15">
        <v>10952</v>
      </c>
      <c r="G761" s="15">
        <v>1502.75</v>
      </c>
      <c r="H761" s="15">
        <f>Table2[[#This Row],[Profit]]/Table2[[#This Row],[Sales]]</f>
        <v>0.13721238130021915</v>
      </c>
    </row>
    <row r="762" spans="1:8" ht="12" customHeight="1" x14ac:dyDescent="0.3">
      <c r="A762" s="13">
        <v>2761</v>
      </c>
      <c r="B762" s="14" t="s">
        <v>309</v>
      </c>
      <c r="C762" s="13" t="s">
        <v>402</v>
      </c>
      <c r="D762" s="13" t="s">
        <v>405</v>
      </c>
      <c r="E762" s="13" t="s">
        <v>412</v>
      </c>
      <c r="F762" s="15">
        <v>1897</v>
      </c>
      <c r="G762" s="15">
        <v>380.8</v>
      </c>
      <c r="H762" s="15">
        <f>Table2[[#This Row],[Profit]]/Table2[[#This Row],[Sales]]</f>
        <v>0.2007380073800738</v>
      </c>
    </row>
    <row r="763" spans="1:8" ht="12" customHeight="1" x14ac:dyDescent="0.3">
      <c r="A763" s="13">
        <v>2762</v>
      </c>
      <c r="B763" s="14" t="s">
        <v>366</v>
      </c>
      <c r="C763" s="13" t="s">
        <v>402</v>
      </c>
      <c r="D763" s="13" t="s">
        <v>407</v>
      </c>
      <c r="E763" s="13" t="s">
        <v>413</v>
      </c>
      <c r="F763" s="15">
        <v>25396</v>
      </c>
      <c r="G763" s="15">
        <v>4781.09</v>
      </c>
      <c r="H763" s="15">
        <f>Table2[[#This Row],[Profit]]/Table2[[#This Row],[Sales]]</f>
        <v>0.18826153724996064</v>
      </c>
    </row>
    <row r="764" spans="1:8" ht="12" customHeight="1" x14ac:dyDescent="0.3">
      <c r="A764" s="13">
        <v>2763</v>
      </c>
      <c r="B764" s="14" t="s">
        <v>149</v>
      </c>
      <c r="C764" s="13" t="s">
        <v>402</v>
      </c>
      <c r="D764" s="13" t="s">
        <v>409</v>
      </c>
      <c r="E764" s="13" t="s">
        <v>412</v>
      </c>
      <c r="F764" s="15">
        <v>13994</v>
      </c>
      <c r="G764" s="15">
        <v>2792.67</v>
      </c>
      <c r="H764" s="15">
        <f>Table2[[#This Row],[Profit]]/Table2[[#This Row],[Sales]]</f>
        <v>0.19956195512362443</v>
      </c>
    </row>
    <row r="765" spans="1:8" ht="12" customHeight="1" x14ac:dyDescent="0.3">
      <c r="A765" s="13">
        <v>2764</v>
      </c>
      <c r="B765" s="14" t="s">
        <v>105</v>
      </c>
      <c r="C765" s="13" t="s">
        <v>402</v>
      </c>
      <c r="D765" s="13" t="s">
        <v>407</v>
      </c>
      <c r="E765" s="13" t="s">
        <v>413</v>
      </c>
      <c r="F765" s="15">
        <v>21335</v>
      </c>
      <c r="G765" s="15">
        <v>4058.86</v>
      </c>
      <c r="H765" s="15">
        <f>Table2[[#This Row],[Profit]]/Table2[[#This Row],[Sales]]</f>
        <v>0.19024419967190065</v>
      </c>
    </row>
    <row r="766" spans="1:8" ht="12" customHeight="1" x14ac:dyDescent="0.3">
      <c r="A766" s="13">
        <v>2765</v>
      </c>
      <c r="B766" s="14" t="s">
        <v>359</v>
      </c>
      <c r="C766" s="13" t="s">
        <v>404</v>
      </c>
      <c r="D766" s="13" t="s">
        <v>408</v>
      </c>
      <c r="E766" s="13" t="s">
        <v>412</v>
      </c>
      <c r="F766" s="15">
        <v>26249</v>
      </c>
      <c r="G766" s="15">
        <v>2135.3200000000002</v>
      </c>
      <c r="H766" s="15">
        <f>Table2[[#This Row],[Profit]]/Table2[[#This Row],[Sales]]</f>
        <v>8.1348622804678278E-2</v>
      </c>
    </row>
    <row r="767" spans="1:8" ht="12" customHeight="1" x14ac:dyDescent="0.3">
      <c r="A767" s="13">
        <v>2766</v>
      </c>
      <c r="B767" s="14" t="s">
        <v>367</v>
      </c>
      <c r="C767" s="13" t="s">
        <v>402</v>
      </c>
      <c r="D767" s="13" t="s">
        <v>406</v>
      </c>
      <c r="E767" s="13" t="s">
        <v>413</v>
      </c>
      <c r="F767" s="15">
        <v>29517</v>
      </c>
      <c r="G767" s="15">
        <v>2742.41</v>
      </c>
      <c r="H767" s="15">
        <f>Table2[[#This Row],[Profit]]/Table2[[#This Row],[Sales]]</f>
        <v>9.2909509774028523E-2</v>
      </c>
    </row>
    <row r="768" spans="1:8" ht="12" customHeight="1" x14ac:dyDescent="0.3">
      <c r="A768" s="13">
        <v>2767</v>
      </c>
      <c r="B768" s="14" t="s">
        <v>108</v>
      </c>
      <c r="C768" s="13" t="s">
        <v>402</v>
      </c>
      <c r="D768" s="13" t="s">
        <v>408</v>
      </c>
      <c r="E768" s="13" t="s">
        <v>411</v>
      </c>
      <c r="F768" s="15">
        <v>22153</v>
      </c>
      <c r="G768" s="15">
        <v>4711.68</v>
      </c>
      <c r="H768" s="15">
        <f>Table2[[#This Row],[Profit]]/Table2[[#This Row],[Sales]]</f>
        <v>0.21268812350471722</v>
      </c>
    </row>
    <row r="769" spans="1:8" ht="12" customHeight="1" x14ac:dyDescent="0.3">
      <c r="A769" s="13">
        <v>2768</v>
      </c>
      <c r="B769" s="14" t="s">
        <v>76</v>
      </c>
      <c r="C769" s="13" t="s">
        <v>404</v>
      </c>
      <c r="D769" s="13" t="s">
        <v>410</v>
      </c>
      <c r="E769" s="13" t="s">
        <v>413</v>
      </c>
      <c r="F769" s="15">
        <v>23627</v>
      </c>
      <c r="G769" s="15">
        <v>5658.47</v>
      </c>
      <c r="H769" s="15">
        <f>Table2[[#This Row],[Profit]]/Table2[[#This Row],[Sales]]</f>
        <v>0.23949168324374656</v>
      </c>
    </row>
    <row r="770" spans="1:8" ht="12" customHeight="1" x14ac:dyDescent="0.3">
      <c r="A770" s="13">
        <v>2769</v>
      </c>
      <c r="B770" s="14" t="s">
        <v>31</v>
      </c>
      <c r="C770" s="13" t="s">
        <v>401</v>
      </c>
      <c r="D770" s="13" t="s">
        <v>405</v>
      </c>
      <c r="E770" s="13" t="s">
        <v>413</v>
      </c>
      <c r="F770" s="15">
        <v>12532</v>
      </c>
      <c r="G770" s="15">
        <v>2014.48</v>
      </c>
      <c r="H770" s="15">
        <f>Table2[[#This Row],[Profit]]/Table2[[#This Row],[Sales]]</f>
        <v>0.16074688796680497</v>
      </c>
    </row>
    <row r="771" spans="1:8" ht="12" customHeight="1" x14ac:dyDescent="0.3">
      <c r="A771" s="13">
        <v>2770</v>
      </c>
      <c r="B771" s="14" t="s">
        <v>358</v>
      </c>
      <c r="C771" s="13" t="s">
        <v>404</v>
      </c>
      <c r="D771" s="13" t="s">
        <v>405</v>
      </c>
      <c r="E771" s="13" t="s">
        <v>412</v>
      </c>
      <c r="F771" s="15">
        <v>15895</v>
      </c>
      <c r="G771" s="15">
        <v>4185.05</v>
      </c>
      <c r="H771" s="15">
        <f>Table2[[#This Row],[Profit]]/Table2[[#This Row],[Sales]]</f>
        <v>0.26329348851840201</v>
      </c>
    </row>
    <row r="772" spans="1:8" ht="12" customHeight="1" x14ac:dyDescent="0.3">
      <c r="A772" s="13">
        <v>2771</v>
      </c>
      <c r="B772" s="14" t="s">
        <v>261</v>
      </c>
      <c r="C772" s="13" t="s">
        <v>403</v>
      </c>
      <c r="D772" s="13" t="s">
        <v>410</v>
      </c>
      <c r="E772" s="13" t="s">
        <v>411</v>
      </c>
      <c r="F772" s="15">
        <v>10387</v>
      </c>
      <c r="G772" s="15">
        <v>1442.07</v>
      </c>
      <c r="H772" s="15">
        <f>Table2[[#This Row],[Profit]]/Table2[[#This Row],[Sales]]</f>
        <v>0.1388341195725426</v>
      </c>
    </row>
    <row r="773" spans="1:8" ht="12" customHeight="1" x14ac:dyDescent="0.3">
      <c r="A773" s="13">
        <v>2772</v>
      </c>
      <c r="B773" s="14" t="s">
        <v>350</v>
      </c>
      <c r="C773" s="13" t="s">
        <v>403</v>
      </c>
      <c r="D773" s="13" t="s">
        <v>410</v>
      </c>
      <c r="E773" s="13" t="s">
        <v>413</v>
      </c>
      <c r="F773" s="15">
        <v>29342</v>
      </c>
      <c r="G773" s="15">
        <v>7357.94</v>
      </c>
      <c r="H773" s="15">
        <f>Table2[[#This Row],[Profit]]/Table2[[#This Row],[Sales]]</f>
        <v>0.25076477404403241</v>
      </c>
    </row>
    <row r="774" spans="1:8" ht="12" customHeight="1" x14ac:dyDescent="0.3">
      <c r="A774" s="13">
        <v>2773</v>
      </c>
      <c r="B774" s="14" t="s">
        <v>123</v>
      </c>
      <c r="C774" s="13" t="s">
        <v>401</v>
      </c>
      <c r="D774" s="13" t="s">
        <v>408</v>
      </c>
      <c r="E774" s="13" t="s">
        <v>411</v>
      </c>
      <c r="F774" s="15">
        <v>6056</v>
      </c>
      <c r="G774" s="15">
        <v>1145.18</v>
      </c>
      <c r="H774" s="15">
        <f>Table2[[#This Row],[Profit]]/Table2[[#This Row],[Sales]]</f>
        <v>0.18909841479524439</v>
      </c>
    </row>
    <row r="775" spans="1:8" ht="12" customHeight="1" x14ac:dyDescent="0.3">
      <c r="A775" s="13">
        <v>2774</v>
      </c>
      <c r="B775" s="14" t="s">
        <v>294</v>
      </c>
      <c r="C775" s="13" t="s">
        <v>401</v>
      </c>
      <c r="D775" s="13" t="s">
        <v>406</v>
      </c>
      <c r="E775" s="13" t="s">
        <v>413</v>
      </c>
      <c r="F775" s="15">
        <v>25070</v>
      </c>
      <c r="G775" s="15">
        <v>5390.15</v>
      </c>
      <c r="H775" s="15">
        <f>Table2[[#This Row],[Profit]]/Table2[[#This Row],[Sales]]</f>
        <v>0.21500398883127242</v>
      </c>
    </row>
    <row r="776" spans="1:8" ht="12" customHeight="1" x14ac:dyDescent="0.3">
      <c r="A776" s="13">
        <v>2775</v>
      </c>
      <c r="B776" s="14" t="s">
        <v>310</v>
      </c>
      <c r="C776" s="13" t="s">
        <v>401</v>
      </c>
      <c r="D776" s="13" t="s">
        <v>407</v>
      </c>
      <c r="E776" s="13" t="s">
        <v>413</v>
      </c>
      <c r="F776" s="15">
        <v>11386</v>
      </c>
      <c r="G776" s="15">
        <v>2620.06</v>
      </c>
      <c r="H776" s="15">
        <f>Table2[[#This Row],[Profit]]/Table2[[#This Row],[Sales]]</f>
        <v>0.23011241875988056</v>
      </c>
    </row>
    <row r="777" spans="1:8" ht="12" customHeight="1" x14ac:dyDescent="0.3">
      <c r="A777" s="13">
        <v>2776</v>
      </c>
      <c r="B777" s="14" t="s">
        <v>368</v>
      </c>
      <c r="C777" s="13" t="s">
        <v>402</v>
      </c>
      <c r="D777" s="13" t="s">
        <v>407</v>
      </c>
      <c r="E777" s="13" t="s">
        <v>411</v>
      </c>
      <c r="F777" s="15">
        <v>14314</v>
      </c>
      <c r="G777" s="15">
        <v>2215.37</v>
      </c>
      <c r="H777" s="15">
        <f>Table2[[#This Row],[Profit]]/Table2[[#This Row],[Sales]]</f>
        <v>0.15476945647617715</v>
      </c>
    </row>
    <row r="778" spans="1:8" ht="12" customHeight="1" x14ac:dyDescent="0.3">
      <c r="A778" s="13">
        <v>2777</v>
      </c>
      <c r="B778" s="14" t="s">
        <v>228</v>
      </c>
      <c r="C778" s="13" t="s">
        <v>402</v>
      </c>
      <c r="D778" s="13" t="s">
        <v>406</v>
      </c>
      <c r="E778" s="13" t="s">
        <v>412</v>
      </c>
      <c r="F778" s="15">
        <v>15786</v>
      </c>
      <c r="G778" s="15">
        <v>3064.76</v>
      </c>
      <c r="H778" s="15">
        <f>Table2[[#This Row],[Profit]]/Table2[[#This Row],[Sales]]</f>
        <v>0.19414417838591158</v>
      </c>
    </row>
    <row r="779" spans="1:8" ht="12" customHeight="1" x14ac:dyDescent="0.3">
      <c r="A779" s="13">
        <v>2778</v>
      </c>
      <c r="B779" s="14" t="s">
        <v>369</v>
      </c>
      <c r="C779" s="13" t="s">
        <v>404</v>
      </c>
      <c r="D779" s="13" t="s">
        <v>408</v>
      </c>
      <c r="E779" s="13" t="s">
        <v>412</v>
      </c>
      <c r="F779" s="15">
        <v>1812</v>
      </c>
      <c r="G779" s="15">
        <v>349.53</v>
      </c>
      <c r="H779" s="15">
        <f>Table2[[#This Row],[Profit]]/Table2[[#This Row],[Sales]]</f>
        <v>0.19289735099337746</v>
      </c>
    </row>
    <row r="780" spans="1:8" ht="12" customHeight="1" x14ac:dyDescent="0.3">
      <c r="A780" s="13">
        <v>2779</v>
      </c>
      <c r="B780" s="14" t="s">
        <v>361</v>
      </c>
      <c r="C780" s="13" t="s">
        <v>401</v>
      </c>
      <c r="D780" s="13" t="s">
        <v>408</v>
      </c>
      <c r="E780" s="13" t="s">
        <v>412</v>
      </c>
      <c r="F780" s="15">
        <v>11337</v>
      </c>
      <c r="G780" s="15">
        <v>1439.78</v>
      </c>
      <c r="H780" s="15">
        <f>Table2[[#This Row],[Profit]]/Table2[[#This Row],[Sales]]</f>
        <v>0.1269983240716239</v>
      </c>
    </row>
    <row r="781" spans="1:8" ht="12" customHeight="1" x14ac:dyDescent="0.3">
      <c r="A781" s="13">
        <v>2780</v>
      </c>
      <c r="B781" s="14" t="s">
        <v>123</v>
      </c>
      <c r="C781" s="13" t="s">
        <v>401</v>
      </c>
      <c r="D781" s="13" t="s">
        <v>405</v>
      </c>
      <c r="E781" s="13" t="s">
        <v>411</v>
      </c>
      <c r="F781" s="15">
        <v>26791</v>
      </c>
      <c r="G781" s="15">
        <v>6163.29</v>
      </c>
      <c r="H781" s="15">
        <f>Table2[[#This Row],[Profit]]/Table2[[#This Row],[Sales]]</f>
        <v>0.23005076331603896</v>
      </c>
    </row>
    <row r="782" spans="1:8" ht="12" customHeight="1" x14ac:dyDescent="0.3">
      <c r="A782" s="13">
        <v>2781</v>
      </c>
      <c r="B782" s="14" t="s">
        <v>370</v>
      </c>
      <c r="C782" s="13" t="s">
        <v>401</v>
      </c>
      <c r="D782" s="13" t="s">
        <v>408</v>
      </c>
      <c r="E782" s="13" t="s">
        <v>412</v>
      </c>
      <c r="F782" s="15">
        <v>7670</v>
      </c>
      <c r="G782" s="15">
        <v>1249.49</v>
      </c>
      <c r="H782" s="15">
        <f>Table2[[#This Row],[Profit]]/Table2[[#This Row],[Sales]]</f>
        <v>0.16290612777053456</v>
      </c>
    </row>
    <row r="783" spans="1:8" ht="12" customHeight="1" x14ac:dyDescent="0.3">
      <c r="A783" s="13">
        <v>2782</v>
      </c>
      <c r="B783" s="14" t="s">
        <v>254</v>
      </c>
      <c r="C783" s="13" t="s">
        <v>403</v>
      </c>
      <c r="D783" s="13" t="s">
        <v>410</v>
      </c>
      <c r="E783" s="13" t="s">
        <v>412</v>
      </c>
      <c r="F783" s="15">
        <v>25397</v>
      </c>
      <c r="G783" s="15">
        <v>5873.99</v>
      </c>
      <c r="H783" s="15">
        <f>Table2[[#This Row],[Profit]]/Table2[[#This Row],[Sales]]</f>
        <v>0.23128676615348268</v>
      </c>
    </row>
    <row r="784" spans="1:8" ht="12" customHeight="1" x14ac:dyDescent="0.3">
      <c r="A784" s="13">
        <v>2783</v>
      </c>
      <c r="B784" s="14" t="s">
        <v>371</v>
      </c>
      <c r="C784" s="13" t="s">
        <v>402</v>
      </c>
      <c r="D784" s="13" t="s">
        <v>406</v>
      </c>
      <c r="E784" s="13" t="s">
        <v>413</v>
      </c>
      <c r="F784" s="15">
        <v>14534</v>
      </c>
      <c r="G784" s="15">
        <v>3201.01</v>
      </c>
      <c r="H784" s="15">
        <f>Table2[[#This Row],[Profit]]/Table2[[#This Row],[Sales]]</f>
        <v>0.22024287876702905</v>
      </c>
    </row>
    <row r="785" spans="1:8" ht="12" customHeight="1" x14ac:dyDescent="0.3">
      <c r="A785" s="13">
        <v>2784</v>
      </c>
      <c r="B785" s="14" t="s">
        <v>255</v>
      </c>
      <c r="C785" s="13" t="s">
        <v>404</v>
      </c>
      <c r="D785" s="13" t="s">
        <v>406</v>
      </c>
      <c r="E785" s="13" t="s">
        <v>411</v>
      </c>
      <c r="F785" s="15">
        <v>9962</v>
      </c>
      <c r="G785" s="15">
        <v>2882.23</v>
      </c>
      <c r="H785" s="15">
        <f>Table2[[#This Row],[Profit]]/Table2[[#This Row],[Sales]]</f>
        <v>0.28932242521582013</v>
      </c>
    </row>
    <row r="786" spans="1:8" ht="12" customHeight="1" x14ac:dyDescent="0.3">
      <c r="A786" s="13">
        <v>2785</v>
      </c>
      <c r="B786" s="14" t="s">
        <v>284</v>
      </c>
      <c r="C786" s="13" t="s">
        <v>403</v>
      </c>
      <c r="D786" s="13" t="s">
        <v>406</v>
      </c>
      <c r="E786" s="13" t="s">
        <v>413</v>
      </c>
      <c r="F786" s="15">
        <v>21374</v>
      </c>
      <c r="G786" s="15">
        <v>5872.7</v>
      </c>
      <c r="H786" s="15">
        <f>Table2[[#This Row],[Profit]]/Table2[[#This Row],[Sales]]</f>
        <v>0.27475905305511367</v>
      </c>
    </row>
    <row r="787" spans="1:8" ht="12" customHeight="1" x14ac:dyDescent="0.3">
      <c r="A787" s="13">
        <v>2786</v>
      </c>
      <c r="B787" s="14" t="s">
        <v>136</v>
      </c>
      <c r="C787" s="13" t="s">
        <v>401</v>
      </c>
      <c r="D787" s="13" t="s">
        <v>408</v>
      </c>
      <c r="E787" s="13" t="s">
        <v>411</v>
      </c>
      <c r="F787" s="15">
        <v>12772</v>
      </c>
      <c r="G787" s="15">
        <v>2981.26</v>
      </c>
      <c r="H787" s="15">
        <f>Table2[[#This Row],[Profit]]/Table2[[#This Row],[Sales]]</f>
        <v>0.23342154713435642</v>
      </c>
    </row>
    <row r="788" spans="1:8" ht="12" customHeight="1" x14ac:dyDescent="0.3">
      <c r="A788" s="13">
        <v>2787</v>
      </c>
      <c r="B788" s="14" t="s">
        <v>308</v>
      </c>
      <c r="C788" s="13" t="s">
        <v>401</v>
      </c>
      <c r="D788" s="13" t="s">
        <v>408</v>
      </c>
      <c r="E788" s="13" t="s">
        <v>413</v>
      </c>
      <c r="F788" s="15">
        <v>19362</v>
      </c>
      <c r="G788" s="15">
        <v>2352.17</v>
      </c>
      <c r="H788" s="15">
        <f>Table2[[#This Row],[Profit]]/Table2[[#This Row],[Sales]]</f>
        <v>0.12148383431463693</v>
      </c>
    </row>
    <row r="789" spans="1:8" ht="12" customHeight="1" x14ac:dyDescent="0.3">
      <c r="A789" s="13">
        <v>2788</v>
      </c>
      <c r="B789" s="14" t="s">
        <v>25</v>
      </c>
      <c r="C789" s="13" t="s">
        <v>403</v>
      </c>
      <c r="D789" s="13" t="s">
        <v>408</v>
      </c>
      <c r="E789" s="13" t="s">
        <v>413</v>
      </c>
      <c r="F789" s="15">
        <v>24890</v>
      </c>
      <c r="G789" s="15">
        <v>6830.19</v>
      </c>
      <c r="H789" s="15">
        <f>Table2[[#This Row],[Profit]]/Table2[[#This Row],[Sales]]</f>
        <v>0.27441502611490559</v>
      </c>
    </row>
    <row r="790" spans="1:8" ht="12" customHeight="1" x14ac:dyDescent="0.3">
      <c r="A790" s="13">
        <v>2789</v>
      </c>
      <c r="B790" s="14" t="s">
        <v>372</v>
      </c>
      <c r="C790" s="13" t="s">
        <v>404</v>
      </c>
      <c r="D790" s="13" t="s">
        <v>406</v>
      </c>
      <c r="E790" s="13" t="s">
        <v>411</v>
      </c>
      <c r="F790" s="15">
        <v>3928</v>
      </c>
      <c r="G790" s="15">
        <v>833.62</v>
      </c>
      <c r="H790" s="15">
        <f>Table2[[#This Row],[Profit]]/Table2[[#This Row],[Sales]]</f>
        <v>0.21222505091649693</v>
      </c>
    </row>
    <row r="791" spans="1:8" ht="12" customHeight="1" x14ac:dyDescent="0.3">
      <c r="A791" s="13">
        <v>2790</v>
      </c>
      <c r="B791" s="14" t="s">
        <v>226</v>
      </c>
      <c r="C791" s="13" t="s">
        <v>402</v>
      </c>
      <c r="D791" s="13" t="s">
        <v>406</v>
      </c>
      <c r="E791" s="13" t="s">
        <v>411</v>
      </c>
      <c r="F791" s="15">
        <v>21557</v>
      </c>
      <c r="G791" s="15">
        <v>2613.88</v>
      </c>
      <c r="H791" s="15">
        <f>Table2[[#This Row],[Profit]]/Table2[[#This Row],[Sales]]</f>
        <v>0.12125434893538062</v>
      </c>
    </row>
    <row r="792" spans="1:8" ht="12" customHeight="1" x14ac:dyDescent="0.3">
      <c r="A792" s="13">
        <v>2791</v>
      </c>
      <c r="B792" s="14" t="s">
        <v>111</v>
      </c>
      <c r="C792" s="13" t="s">
        <v>403</v>
      </c>
      <c r="D792" s="13" t="s">
        <v>408</v>
      </c>
      <c r="E792" s="13" t="s">
        <v>411</v>
      </c>
      <c r="F792" s="15">
        <v>28883</v>
      </c>
      <c r="G792" s="15">
        <v>5817.43</v>
      </c>
      <c r="H792" s="15">
        <f>Table2[[#This Row],[Profit]]/Table2[[#This Row],[Sales]]</f>
        <v>0.20141363431776479</v>
      </c>
    </row>
    <row r="793" spans="1:8" ht="12" customHeight="1" x14ac:dyDescent="0.3">
      <c r="A793" s="13">
        <v>2792</v>
      </c>
      <c r="B793" s="14" t="s">
        <v>89</v>
      </c>
      <c r="C793" s="13" t="s">
        <v>401</v>
      </c>
      <c r="D793" s="13" t="s">
        <v>409</v>
      </c>
      <c r="E793" s="13" t="s">
        <v>411</v>
      </c>
      <c r="F793" s="15">
        <v>16601</v>
      </c>
      <c r="G793" s="15">
        <v>4182.9799999999996</v>
      </c>
      <c r="H793" s="15">
        <f>Table2[[#This Row],[Profit]]/Table2[[#This Row],[Sales]]</f>
        <v>0.25197156797783266</v>
      </c>
    </row>
    <row r="794" spans="1:8" ht="12" customHeight="1" x14ac:dyDescent="0.3">
      <c r="A794" s="13">
        <v>2793</v>
      </c>
      <c r="B794" s="14" t="s">
        <v>318</v>
      </c>
      <c r="C794" s="13" t="s">
        <v>402</v>
      </c>
      <c r="D794" s="13" t="s">
        <v>409</v>
      </c>
      <c r="E794" s="13" t="s">
        <v>413</v>
      </c>
      <c r="F794" s="15">
        <v>25008</v>
      </c>
      <c r="G794" s="15">
        <v>2596.27</v>
      </c>
      <c r="H794" s="15">
        <f>Table2[[#This Row],[Profit]]/Table2[[#This Row],[Sales]]</f>
        <v>0.10381757837492002</v>
      </c>
    </row>
    <row r="795" spans="1:8" ht="12" customHeight="1" x14ac:dyDescent="0.3">
      <c r="A795" s="13">
        <v>2794</v>
      </c>
      <c r="B795" s="14" t="s">
        <v>214</v>
      </c>
      <c r="C795" s="13" t="s">
        <v>403</v>
      </c>
      <c r="D795" s="13" t="s">
        <v>409</v>
      </c>
      <c r="E795" s="13" t="s">
        <v>413</v>
      </c>
      <c r="F795" s="15">
        <v>13959</v>
      </c>
      <c r="G795" s="15">
        <v>1377.58</v>
      </c>
      <c r="H795" s="15">
        <f>Table2[[#This Row],[Profit]]/Table2[[#This Row],[Sales]]</f>
        <v>9.8687585070563785E-2</v>
      </c>
    </row>
    <row r="796" spans="1:8" ht="12" customHeight="1" x14ac:dyDescent="0.3">
      <c r="A796" s="13">
        <v>2795</v>
      </c>
      <c r="B796" s="14" t="s">
        <v>67</v>
      </c>
      <c r="C796" s="13" t="s">
        <v>404</v>
      </c>
      <c r="D796" s="13" t="s">
        <v>410</v>
      </c>
      <c r="E796" s="13" t="s">
        <v>413</v>
      </c>
      <c r="F796" s="15">
        <v>15658</v>
      </c>
      <c r="G796" s="15">
        <v>4108.51</v>
      </c>
      <c r="H796" s="15">
        <f>Table2[[#This Row],[Profit]]/Table2[[#This Row],[Sales]]</f>
        <v>0.26239047132456256</v>
      </c>
    </row>
    <row r="797" spans="1:8" ht="12" customHeight="1" x14ac:dyDescent="0.3">
      <c r="A797" s="13">
        <v>2796</v>
      </c>
      <c r="B797" s="14" t="s">
        <v>120</v>
      </c>
      <c r="C797" s="13" t="s">
        <v>401</v>
      </c>
      <c r="D797" s="13" t="s">
        <v>410</v>
      </c>
      <c r="E797" s="13" t="s">
        <v>413</v>
      </c>
      <c r="F797" s="15">
        <v>3340</v>
      </c>
      <c r="G797" s="15">
        <v>692.2</v>
      </c>
      <c r="H797" s="15">
        <f>Table2[[#This Row],[Profit]]/Table2[[#This Row],[Sales]]</f>
        <v>0.20724550898203595</v>
      </c>
    </row>
    <row r="798" spans="1:8" ht="12" customHeight="1" x14ac:dyDescent="0.3">
      <c r="A798" s="13">
        <v>2797</v>
      </c>
      <c r="B798" s="14" t="s">
        <v>49</v>
      </c>
      <c r="C798" s="13" t="s">
        <v>404</v>
      </c>
      <c r="D798" s="13" t="s">
        <v>408</v>
      </c>
      <c r="E798" s="13" t="s">
        <v>413</v>
      </c>
      <c r="F798" s="15">
        <v>16604</v>
      </c>
      <c r="G798" s="15">
        <v>1388.8</v>
      </c>
      <c r="H798" s="15">
        <f>Table2[[#This Row],[Profit]]/Table2[[#This Row],[Sales]]</f>
        <v>8.3642495784148396E-2</v>
      </c>
    </row>
    <row r="799" spans="1:8" ht="12" customHeight="1" x14ac:dyDescent="0.3">
      <c r="A799" s="13">
        <v>2798</v>
      </c>
      <c r="B799" s="14" t="s">
        <v>48</v>
      </c>
      <c r="C799" s="13" t="s">
        <v>404</v>
      </c>
      <c r="D799" s="13" t="s">
        <v>405</v>
      </c>
      <c r="E799" s="13" t="s">
        <v>412</v>
      </c>
      <c r="F799" s="15">
        <v>17678</v>
      </c>
      <c r="G799" s="15">
        <v>2020.35</v>
      </c>
      <c r="H799" s="15">
        <f>Table2[[#This Row],[Profit]]/Table2[[#This Row],[Sales]]</f>
        <v>0.11428611833917864</v>
      </c>
    </row>
    <row r="800" spans="1:8" ht="12" customHeight="1" x14ac:dyDescent="0.3">
      <c r="A800" s="13">
        <v>2799</v>
      </c>
      <c r="B800" s="14" t="s">
        <v>320</v>
      </c>
      <c r="C800" s="13" t="s">
        <v>404</v>
      </c>
      <c r="D800" s="13" t="s">
        <v>409</v>
      </c>
      <c r="E800" s="13" t="s">
        <v>413</v>
      </c>
      <c r="F800" s="15">
        <v>19514</v>
      </c>
      <c r="G800" s="15">
        <v>3668.47</v>
      </c>
      <c r="H800" s="15">
        <f>Table2[[#This Row],[Profit]]/Table2[[#This Row],[Sales]]</f>
        <v>0.18799169826791021</v>
      </c>
    </row>
    <row r="801" spans="1:8" ht="12" customHeight="1" x14ac:dyDescent="0.3">
      <c r="A801" s="13">
        <v>2800</v>
      </c>
      <c r="B801" s="14" t="s">
        <v>373</v>
      </c>
      <c r="C801" s="13" t="s">
        <v>402</v>
      </c>
      <c r="D801" s="13" t="s">
        <v>407</v>
      </c>
      <c r="E801" s="13" t="s">
        <v>412</v>
      </c>
      <c r="F801" s="15">
        <v>24991</v>
      </c>
      <c r="G801" s="15">
        <v>2071.54</v>
      </c>
      <c r="H801" s="15">
        <f>Table2[[#This Row],[Profit]]/Table2[[#This Row],[Sales]]</f>
        <v>8.2891440918730741E-2</v>
      </c>
    </row>
    <row r="802" spans="1:8" ht="12" customHeight="1" x14ac:dyDescent="0.3">
      <c r="A802" s="13">
        <v>2801</v>
      </c>
      <c r="B802" s="14" t="s">
        <v>27</v>
      </c>
      <c r="C802" s="13" t="s">
        <v>401</v>
      </c>
      <c r="D802" s="13" t="s">
        <v>408</v>
      </c>
      <c r="E802" s="13" t="s">
        <v>411</v>
      </c>
      <c r="F802" s="15">
        <v>19405</v>
      </c>
      <c r="G802" s="15">
        <v>4992.3999999999996</v>
      </c>
      <c r="H802" s="15">
        <f>Table2[[#This Row],[Profit]]/Table2[[#This Row],[Sales]]</f>
        <v>0.25727389847977322</v>
      </c>
    </row>
    <row r="803" spans="1:8" ht="12" customHeight="1" x14ac:dyDescent="0.3">
      <c r="A803" s="13">
        <v>2802</v>
      </c>
      <c r="B803" s="14" t="s">
        <v>257</v>
      </c>
      <c r="C803" s="13" t="s">
        <v>402</v>
      </c>
      <c r="D803" s="13" t="s">
        <v>409</v>
      </c>
      <c r="E803" s="13" t="s">
        <v>411</v>
      </c>
      <c r="F803" s="15">
        <v>5135</v>
      </c>
      <c r="G803" s="15">
        <v>1387.58</v>
      </c>
      <c r="H803" s="15">
        <f>Table2[[#This Row],[Profit]]/Table2[[#This Row],[Sales]]</f>
        <v>0.27022005842259006</v>
      </c>
    </row>
    <row r="804" spans="1:8" ht="12" customHeight="1" x14ac:dyDescent="0.3">
      <c r="A804" s="13">
        <v>2803</v>
      </c>
      <c r="B804" s="14" t="s">
        <v>295</v>
      </c>
      <c r="C804" s="13" t="s">
        <v>404</v>
      </c>
      <c r="D804" s="13" t="s">
        <v>406</v>
      </c>
      <c r="E804" s="13" t="s">
        <v>412</v>
      </c>
      <c r="F804" s="15">
        <v>1054</v>
      </c>
      <c r="G804" s="15">
        <v>94.26</v>
      </c>
      <c r="H804" s="15">
        <f>Table2[[#This Row],[Profit]]/Table2[[#This Row],[Sales]]</f>
        <v>8.9430740037950665E-2</v>
      </c>
    </row>
    <row r="805" spans="1:8" ht="12" customHeight="1" x14ac:dyDescent="0.3">
      <c r="A805" s="13">
        <v>2804</v>
      </c>
      <c r="B805" s="14" t="s">
        <v>118</v>
      </c>
      <c r="C805" s="13" t="s">
        <v>402</v>
      </c>
      <c r="D805" s="13" t="s">
        <v>406</v>
      </c>
      <c r="E805" s="13" t="s">
        <v>413</v>
      </c>
      <c r="F805" s="15">
        <v>13005</v>
      </c>
      <c r="G805" s="15">
        <v>1245.48</v>
      </c>
      <c r="H805" s="15">
        <f>Table2[[#This Row],[Profit]]/Table2[[#This Row],[Sales]]</f>
        <v>9.5769319492502891E-2</v>
      </c>
    </row>
    <row r="806" spans="1:8" ht="12" customHeight="1" x14ac:dyDescent="0.3">
      <c r="A806" s="13">
        <v>2805</v>
      </c>
      <c r="B806" s="14" t="s">
        <v>172</v>
      </c>
      <c r="C806" s="13" t="s">
        <v>402</v>
      </c>
      <c r="D806" s="13" t="s">
        <v>409</v>
      </c>
      <c r="E806" s="13" t="s">
        <v>412</v>
      </c>
      <c r="F806" s="15">
        <v>19909</v>
      </c>
      <c r="G806" s="15">
        <v>3200.11</v>
      </c>
      <c r="H806" s="15">
        <f>Table2[[#This Row],[Profit]]/Table2[[#This Row],[Sales]]</f>
        <v>0.16073685267969262</v>
      </c>
    </row>
    <row r="807" spans="1:8" ht="12" customHeight="1" x14ac:dyDescent="0.3">
      <c r="A807" s="13">
        <v>2806</v>
      </c>
      <c r="B807" s="14" t="s">
        <v>308</v>
      </c>
      <c r="C807" s="13" t="s">
        <v>402</v>
      </c>
      <c r="D807" s="13" t="s">
        <v>409</v>
      </c>
      <c r="E807" s="13" t="s">
        <v>413</v>
      </c>
      <c r="F807" s="15">
        <v>8539</v>
      </c>
      <c r="G807" s="15">
        <v>1117.03</v>
      </c>
      <c r="H807" s="15">
        <f>Table2[[#This Row],[Profit]]/Table2[[#This Row],[Sales]]</f>
        <v>0.13081508373345824</v>
      </c>
    </row>
    <row r="808" spans="1:8" ht="12" customHeight="1" x14ac:dyDescent="0.3">
      <c r="A808" s="13">
        <v>2807</v>
      </c>
      <c r="B808" s="14" t="s">
        <v>53</v>
      </c>
      <c r="C808" s="13" t="s">
        <v>403</v>
      </c>
      <c r="D808" s="13" t="s">
        <v>408</v>
      </c>
      <c r="E808" s="13" t="s">
        <v>412</v>
      </c>
      <c r="F808" s="15">
        <v>7023</v>
      </c>
      <c r="G808" s="15">
        <v>1234.04</v>
      </c>
      <c r="H808" s="15">
        <f>Table2[[#This Row],[Profit]]/Table2[[#This Row],[Sales]]</f>
        <v>0.17571408230101096</v>
      </c>
    </row>
    <row r="809" spans="1:8" ht="12" customHeight="1" x14ac:dyDescent="0.3">
      <c r="A809" s="13">
        <v>2808</v>
      </c>
      <c r="B809" s="14" t="s">
        <v>374</v>
      </c>
      <c r="C809" s="13" t="s">
        <v>402</v>
      </c>
      <c r="D809" s="13" t="s">
        <v>410</v>
      </c>
      <c r="E809" s="13" t="s">
        <v>413</v>
      </c>
      <c r="F809" s="15">
        <v>16353</v>
      </c>
      <c r="G809" s="15">
        <v>3717.33</v>
      </c>
      <c r="H809" s="15">
        <f>Table2[[#This Row],[Profit]]/Table2[[#This Row],[Sales]]</f>
        <v>0.2273179233168226</v>
      </c>
    </row>
    <row r="810" spans="1:8" ht="12" customHeight="1" x14ac:dyDescent="0.3">
      <c r="A810" s="13">
        <v>2809</v>
      </c>
      <c r="B810" s="14" t="s">
        <v>223</v>
      </c>
      <c r="C810" s="13" t="s">
        <v>404</v>
      </c>
      <c r="D810" s="13" t="s">
        <v>407</v>
      </c>
      <c r="E810" s="13" t="s">
        <v>412</v>
      </c>
      <c r="F810" s="15">
        <v>9902</v>
      </c>
      <c r="G810" s="15">
        <v>2882.98</v>
      </c>
      <c r="H810" s="15">
        <f>Table2[[#This Row],[Profit]]/Table2[[#This Row],[Sales]]</f>
        <v>0.29115128256917794</v>
      </c>
    </row>
    <row r="811" spans="1:8" ht="12" customHeight="1" x14ac:dyDescent="0.3">
      <c r="A811" s="13">
        <v>2810</v>
      </c>
      <c r="B811" s="14" t="s">
        <v>151</v>
      </c>
      <c r="C811" s="13" t="s">
        <v>404</v>
      </c>
      <c r="D811" s="13" t="s">
        <v>407</v>
      </c>
      <c r="E811" s="13" t="s">
        <v>412</v>
      </c>
      <c r="F811" s="15">
        <v>29592</v>
      </c>
      <c r="G811" s="15">
        <v>6411.5</v>
      </c>
      <c r="H811" s="15">
        <f>Table2[[#This Row],[Profit]]/Table2[[#This Row],[Sales]]</f>
        <v>0.21666328737496621</v>
      </c>
    </row>
    <row r="812" spans="1:8" ht="12" customHeight="1" x14ac:dyDescent="0.3">
      <c r="A812" s="13">
        <v>2811</v>
      </c>
      <c r="B812" s="14" t="s">
        <v>375</v>
      </c>
      <c r="C812" s="13" t="s">
        <v>404</v>
      </c>
      <c r="D812" s="13" t="s">
        <v>405</v>
      </c>
      <c r="E812" s="13" t="s">
        <v>411</v>
      </c>
      <c r="F812" s="15">
        <v>19436</v>
      </c>
      <c r="G812" s="15">
        <v>5195.55</v>
      </c>
      <c r="H812" s="15">
        <f>Table2[[#This Row],[Profit]]/Table2[[#This Row],[Sales]]</f>
        <v>0.26731580572134184</v>
      </c>
    </row>
    <row r="813" spans="1:8" ht="12" customHeight="1" x14ac:dyDescent="0.3">
      <c r="A813" s="13">
        <v>2812</v>
      </c>
      <c r="B813" s="14" t="s">
        <v>178</v>
      </c>
      <c r="C813" s="13" t="s">
        <v>402</v>
      </c>
      <c r="D813" s="13" t="s">
        <v>407</v>
      </c>
      <c r="E813" s="13" t="s">
        <v>411</v>
      </c>
      <c r="F813" s="15">
        <v>12530</v>
      </c>
      <c r="G813" s="15">
        <v>1982.47</v>
      </c>
      <c r="H813" s="15">
        <f>Table2[[#This Row],[Profit]]/Table2[[#This Row],[Sales]]</f>
        <v>0.15821787709497206</v>
      </c>
    </row>
    <row r="814" spans="1:8" ht="12" customHeight="1" x14ac:dyDescent="0.3">
      <c r="A814" s="13">
        <v>2813</v>
      </c>
      <c r="B814" s="14" t="s">
        <v>376</v>
      </c>
      <c r="C814" s="13" t="s">
        <v>402</v>
      </c>
      <c r="D814" s="13" t="s">
        <v>409</v>
      </c>
      <c r="E814" s="13" t="s">
        <v>411</v>
      </c>
      <c r="F814" s="15">
        <v>28164</v>
      </c>
      <c r="G814" s="15">
        <v>2352.54</v>
      </c>
      <c r="H814" s="15">
        <f>Table2[[#This Row],[Profit]]/Table2[[#This Row],[Sales]]</f>
        <v>8.3530038346825736E-2</v>
      </c>
    </row>
    <row r="815" spans="1:8" ht="12" customHeight="1" x14ac:dyDescent="0.3">
      <c r="A815" s="13">
        <v>2814</v>
      </c>
      <c r="B815" s="14" t="s">
        <v>250</v>
      </c>
      <c r="C815" s="13" t="s">
        <v>403</v>
      </c>
      <c r="D815" s="13" t="s">
        <v>408</v>
      </c>
      <c r="E815" s="13" t="s">
        <v>411</v>
      </c>
      <c r="F815" s="15">
        <v>26498</v>
      </c>
      <c r="G815" s="15">
        <v>3142.78</v>
      </c>
      <c r="H815" s="15">
        <f>Table2[[#This Row],[Profit]]/Table2[[#This Row],[Sales]]</f>
        <v>0.1186044229753189</v>
      </c>
    </row>
    <row r="816" spans="1:8" ht="12" customHeight="1" x14ac:dyDescent="0.3">
      <c r="A816" s="13">
        <v>2815</v>
      </c>
      <c r="B816" s="14" t="s">
        <v>377</v>
      </c>
      <c r="C816" s="13" t="s">
        <v>401</v>
      </c>
      <c r="D816" s="13" t="s">
        <v>409</v>
      </c>
      <c r="E816" s="13" t="s">
        <v>413</v>
      </c>
      <c r="F816" s="15">
        <v>21170</v>
      </c>
      <c r="G816" s="15">
        <v>6232.81</v>
      </c>
      <c r="H816" s="15">
        <f>Table2[[#This Row],[Profit]]/Table2[[#This Row],[Sales]]</f>
        <v>0.29441709966934343</v>
      </c>
    </row>
    <row r="817" spans="1:8" ht="12" customHeight="1" x14ac:dyDescent="0.3">
      <c r="A817" s="13">
        <v>2816</v>
      </c>
      <c r="B817" s="14" t="s">
        <v>233</v>
      </c>
      <c r="C817" s="13" t="s">
        <v>401</v>
      </c>
      <c r="D817" s="13" t="s">
        <v>409</v>
      </c>
      <c r="E817" s="13" t="s">
        <v>412</v>
      </c>
      <c r="F817" s="15">
        <v>26047</v>
      </c>
      <c r="G817" s="15">
        <v>4601.54</v>
      </c>
      <c r="H817" s="15">
        <f>Table2[[#This Row],[Profit]]/Table2[[#This Row],[Sales]]</f>
        <v>0.17666295542672861</v>
      </c>
    </row>
    <row r="818" spans="1:8" ht="12" customHeight="1" x14ac:dyDescent="0.3">
      <c r="A818" s="13">
        <v>2817</v>
      </c>
      <c r="B818" s="14" t="s">
        <v>322</v>
      </c>
      <c r="C818" s="13" t="s">
        <v>404</v>
      </c>
      <c r="D818" s="13" t="s">
        <v>407</v>
      </c>
      <c r="E818" s="13" t="s">
        <v>411</v>
      </c>
      <c r="F818" s="15">
        <v>23685</v>
      </c>
      <c r="G818" s="15">
        <v>5205.82</v>
      </c>
      <c r="H818" s="15">
        <f>Table2[[#This Row],[Profit]]/Table2[[#This Row],[Sales]]</f>
        <v>0.21979396242347476</v>
      </c>
    </row>
    <row r="819" spans="1:8" ht="12" customHeight="1" x14ac:dyDescent="0.3">
      <c r="A819" s="13">
        <v>2818</v>
      </c>
      <c r="B819" s="14" t="s">
        <v>8</v>
      </c>
      <c r="C819" s="13" t="s">
        <v>402</v>
      </c>
      <c r="D819" s="13" t="s">
        <v>410</v>
      </c>
      <c r="E819" s="13" t="s">
        <v>412</v>
      </c>
      <c r="F819" s="15">
        <v>12709</v>
      </c>
      <c r="G819" s="15">
        <v>1226.0999999999999</v>
      </c>
      <c r="H819" s="15">
        <f>Table2[[#This Row],[Profit]]/Table2[[#This Row],[Sales]]</f>
        <v>9.6474939019592407E-2</v>
      </c>
    </row>
    <row r="820" spans="1:8" ht="12" customHeight="1" x14ac:dyDescent="0.3">
      <c r="A820" s="13">
        <v>2819</v>
      </c>
      <c r="B820" s="14" t="s">
        <v>81</v>
      </c>
      <c r="C820" s="13" t="s">
        <v>402</v>
      </c>
      <c r="D820" s="13" t="s">
        <v>410</v>
      </c>
      <c r="E820" s="13" t="s">
        <v>413</v>
      </c>
      <c r="F820" s="15">
        <v>18460</v>
      </c>
      <c r="G820" s="15">
        <v>3157.86</v>
      </c>
      <c r="H820" s="15">
        <f>Table2[[#This Row],[Profit]]/Table2[[#This Row],[Sales]]</f>
        <v>0.17106500541711811</v>
      </c>
    </row>
    <row r="821" spans="1:8" ht="12" customHeight="1" x14ac:dyDescent="0.3">
      <c r="A821" s="13">
        <v>2820</v>
      </c>
      <c r="B821" s="14" t="s">
        <v>118</v>
      </c>
      <c r="C821" s="13" t="s">
        <v>402</v>
      </c>
      <c r="D821" s="13" t="s">
        <v>408</v>
      </c>
      <c r="E821" s="13" t="s">
        <v>411</v>
      </c>
      <c r="F821" s="15">
        <v>20406</v>
      </c>
      <c r="G821" s="15">
        <v>3932.57</v>
      </c>
      <c r="H821" s="15">
        <f>Table2[[#This Row],[Profit]]/Table2[[#This Row],[Sales]]</f>
        <v>0.19271635793394101</v>
      </c>
    </row>
    <row r="822" spans="1:8" ht="12" customHeight="1" x14ac:dyDescent="0.3">
      <c r="A822" s="13">
        <v>2821</v>
      </c>
      <c r="B822" s="14" t="s">
        <v>93</v>
      </c>
      <c r="C822" s="13" t="s">
        <v>401</v>
      </c>
      <c r="D822" s="13" t="s">
        <v>408</v>
      </c>
      <c r="E822" s="13" t="s">
        <v>413</v>
      </c>
      <c r="F822" s="15">
        <v>24509</v>
      </c>
      <c r="G822" s="15">
        <v>3104.13</v>
      </c>
      <c r="H822" s="15">
        <f>Table2[[#This Row],[Profit]]/Table2[[#This Row],[Sales]]</f>
        <v>0.12665265820718921</v>
      </c>
    </row>
    <row r="823" spans="1:8" ht="12" customHeight="1" x14ac:dyDescent="0.3">
      <c r="A823" s="13">
        <v>2822</v>
      </c>
      <c r="B823" s="14" t="s">
        <v>119</v>
      </c>
      <c r="C823" s="13" t="s">
        <v>402</v>
      </c>
      <c r="D823" s="13" t="s">
        <v>405</v>
      </c>
      <c r="E823" s="13" t="s">
        <v>413</v>
      </c>
      <c r="F823" s="15">
        <v>17098</v>
      </c>
      <c r="G823" s="15">
        <v>4296.38</v>
      </c>
      <c r="H823" s="15">
        <f>Table2[[#This Row],[Profit]]/Table2[[#This Row],[Sales]]</f>
        <v>0.25127968183413263</v>
      </c>
    </row>
    <row r="824" spans="1:8" ht="12" customHeight="1" x14ac:dyDescent="0.3">
      <c r="A824" s="13">
        <v>2823</v>
      </c>
      <c r="B824" s="14" t="s">
        <v>378</v>
      </c>
      <c r="C824" s="13" t="s">
        <v>402</v>
      </c>
      <c r="D824" s="13" t="s">
        <v>407</v>
      </c>
      <c r="E824" s="13" t="s">
        <v>412</v>
      </c>
      <c r="F824" s="15">
        <v>13141</v>
      </c>
      <c r="G824" s="15">
        <v>3665.08</v>
      </c>
      <c r="H824" s="15">
        <f>Table2[[#This Row],[Profit]]/Table2[[#This Row],[Sales]]</f>
        <v>0.27890419298379115</v>
      </c>
    </row>
    <row r="825" spans="1:8" ht="12" customHeight="1" x14ac:dyDescent="0.3">
      <c r="A825" s="13">
        <v>2824</v>
      </c>
      <c r="B825" s="14" t="s">
        <v>379</v>
      </c>
      <c r="C825" s="13" t="s">
        <v>402</v>
      </c>
      <c r="D825" s="13" t="s">
        <v>408</v>
      </c>
      <c r="E825" s="13" t="s">
        <v>413</v>
      </c>
      <c r="F825" s="15">
        <v>2123</v>
      </c>
      <c r="G825" s="15">
        <v>633.52</v>
      </c>
      <c r="H825" s="15">
        <f>Table2[[#This Row],[Profit]]/Table2[[#This Row],[Sales]]</f>
        <v>0.29840791333019312</v>
      </c>
    </row>
    <row r="826" spans="1:8" ht="12" customHeight="1" x14ac:dyDescent="0.3">
      <c r="A826" s="13">
        <v>2825</v>
      </c>
      <c r="B826" s="14" t="s">
        <v>270</v>
      </c>
      <c r="C826" s="13" t="s">
        <v>401</v>
      </c>
      <c r="D826" s="13" t="s">
        <v>409</v>
      </c>
      <c r="E826" s="13" t="s">
        <v>413</v>
      </c>
      <c r="F826" s="15">
        <v>27194</v>
      </c>
      <c r="G826" s="15">
        <v>6349.82</v>
      </c>
      <c r="H826" s="15">
        <f>Table2[[#This Row],[Profit]]/Table2[[#This Row],[Sales]]</f>
        <v>0.23350077222916818</v>
      </c>
    </row>
    <row r="827" spans="1:8" ht="12" customHeight="1" x14ac:dyDescent="0.3">
      <c r="A827" s="13">
        <v>2826</v>
      </c>
      <c r="B827" s="14" t="s">
        <v>380</v>
      </c>
      <c r="C827" s="13" t="s">
        <v>401</v>
      </c>
      <c r="D827" s="13" t="s">
        <v>410</v>
      </c>
      <c r="E827" s="13" t="s">
        <v>412</v>
      </c>
      <c r="F827" s="15">
        <v>22678</v>
      </c>
      <c r="G827" s="15">
        <v>4335.01</v>
      </c>
      <c r="H827" s="15">
        <f>Table2[[#This Row],[Profit]]/Table2[[#This Row],[Sales]]</f>
        <v>0.19115486374459831</v>
      </c>
    </row>
    <row r="828" spans="1:8" ht="12" customHeight="1" x14ac:dyDescent="0.3">
      <c r="A828" s="13">
        <v>2827</v>
      </c>
      <c r="B828" s="14" t="s">
        <v>170</v>
      </c>
      <c r="C828" s="13" t="s">
        <v>404</v>
      </c>
      <c r="D828" s="13" t="s">
        <v>408</v>
      </c>
      <c r="E828" s="13" t="s">
        <v>413</v>
      </c>
      <c r="F828" s="15">
        <v>24249</v>
      </c>
      <c r="G828" s="15">
        <v>3857.25</v>
      </c>
      <c r="H828" s="15">
        <f>Table2[[#This Row],[Profit]]/Table2[[#This Row],[Sales]]</f>
        <v>0.15906841519237908</v>
      </c>
    </row>
    <row r="829" spans="1:8" ht="12" customHeight="1" x14ac:dyDescent="0.3">
      <c r="A829" s="13">
        <v>2828</v>
      </c>
      <c r="B829" s="14" t="s">
        <v>309</v>
      </c>
      <c r="C829" s="13" t="s">
        <v>404</v>
      </c>
      <c r="D829" s="13" t="s">
        <v>407</v>
      </c>
      <c r="E829" s="13" t="s">
        <v>413</v>
      </c>
      <c r="F829" s="15">
        <v>14375</v>
      </c>
      <c r="G829" s="15">
        <v>2882.6</v>
      </c>
      <c r="H829" s="15">
        <f>Table2[[#This Row],[Profit]]/Table2[[#This Row],[Sales]]</f>
        <v>0.20052869565217391</v>
      </c>
    </row>
    <row r="830" spans="1:8" ht="12" customHeight="1" x14ac:dyDescent="0.3">
      <c r="A830" s="13">
        <v>2829</v>
      </c>
      <c r="B830" s="14" t="s">
        <v>46</v>
      </c>
      <c r="C830" s="13" t="s">
        <v>404</v>
      </c>
      <c r="D830" s="13" t="s">
        <v>406</v>
      </c>
      <c r="E830" s="13" t="s">
        <v>411</v>
      </c>
      <c r="F830" s="15">
        <v>25748</v>
      </c>
      <c r="G830" s="15">
        <v>5087.76</v>
      </c>
      <c r="H830" s="15">
        <f>Table2[[#This Row],[Profit]]/Table2[[#This Row],[Sales]]</f>
        <v>0.19759826005903372</v>
      </c>
    </row>
    <row r="831" spans="1:8" ht="12" customHeight="1" x14ac:dyDescent="0.3">
      <c r="A831" s="13">
        <v>2830</v>
      </c>
      <c r="B831" s="14" t="s">
        <v>381</v>
      </c>
      <c r="C831" s="13" t="s">
        <v>401</v>
      </c>
      <c r="D831" s="13" t="s">
        <v>410</v>
      </c>
      <c r="E831" s="13" t="s">
        <v>411</v>
      </c>
      <c r="F831" s="15">
        <v>18678</v>
      </c>
      <c r="G831" s="15">
        <v>4565.34</v>
      </c>
      <c r="H831" s="15">
        <f>Table2[[#This Row],[Profit]]/Table2[[#This Row],[Sales]]</f>
        <v>0.24442338580147768</v>
      </c>
    </row>
    <row r="832" spans="1:8" ht="12" customHeight="1" x14ac:dyDescent="0.3">
      <c r="A832" s="13">
        <v>2831</v>
      </c>
      <c r="B832" s="14" t="s">
        <v>284</v>
      </c>
      <c r="C832" s="13" t="s">
        <v>401</v>
      </c>
      <c r="D832" s="13" t="s">
        <v>410</v>
      </c>
      <c r="E832" s="13" t="s">
        <v>411</v>
      </c>
      <c r="F832" s="15">
        <v>11655</v>
      </c>
      <c r="G832" s="15">
        <v>2394.94</v>
      </c>
      <c r="H832" s="15">
        <f>Table2[[#This Row],[Profit]]/Table2[[#This Row],[Sales]]</f>
        <v>0.2054860574860575</v>
      </c>
    </row>
    <row r="833" spans="1:8" ht="12" customHeight="1" x14ac:dyDescent="0.3">
      <c r="A833" s="13">
        <v>2832</v>
      </c>
      <c r="B833" s="14" t="s">
        <v>33</v>
      </c>
      <c r="C833" s="13" t="s">
        <v>404</v>
      </c>
      <c r="D833" s="13" t="s">
        <v>410</v>
      </c>
      <c r="E833" s="13" t="s">
        <v>412</v>
      </c>
      <c r="F833" s="15">
        <v>8266</v>
      </c>
      <c r="G833" s="15">
        <v>2318.56</v>
      </c>
      <c r="H833" s="15">
        <f>Table2[[#This Row],[Profit]]/Table2[[#This Row],[Sales]]</f>
        <v>0.28049358819259618</v>
      </c>
    </row>
    <row r="834" spans="1:8" ht="12" customHeight="1" x14ac:dyDescent="0.3">
      <c r="A834" s="13">
        <v>2833</v>
      </c>
      <c r="B834" s="14" t="s">
        <v>256</v>
      </c>
      <c r="C834" s="13" t="s">
        <v>401</v>
      </c>
      <c r="D834" s="13" t="s">
        <v>409</v>
      </c>
      <c r="E834" s="13" t="s">
        <v>412</v>
      </c>
      <c r="F834" s="15">
        <v>25513</v>
      </c>
      <c r="G834" s="15">
        <v>2365.59</v>
      </c>
      <c r="H834" s="15">
        <f>Table2[[#This Row],[Profit]]/Table2[[#This Row],[Sales]]</f>
        <v>9.2720965782150278E-2</v>
      </c>
    </row>
    <row r="835" spans="1:8" ht="12" customHeight="1" x14ac:dyDescent="0.3">
      <c r="A835" s="13">
        <v>2834</v>
      </c>
      <c r="B835" s="14" t="s">
        <v>278</v>
      </c>
      <c r="C835" s="13" t="s">
        <v>404</v>
      </c>
      <c r="D835" s="13" t="s">
        <v>409</v>
      </c>
      <c r="E835" s="13" t="s">
        <v>411</v>
      </c>
      <c r="F835" s="15">
        <v>29370</v>
      </c>
      <c r="G835" s="15">
        <v>3609.78</v>
      </c>
      <c r="H835" s="15">
        <f>Table2[[#This Row],[Profit]]/Table2[[#This Row],[Sales]]</f>
        <v>0.12290704800817161</v>
      </c>
    </row>
    <row r="836" spans="1:8" ht="12" customHeight="1" x14ac:dyDescent="0.3">
      <c r="A836" s="13">
        <v>2835</v>
      </c>
      <c r="B836" s="14" t="s">
        <v>205</v>
      </c>
      <c r="C836" s="13" t="s">
        <v>404</v>
      </c>
      <c r="D836" s="13" t="s">
        <v>408</v>
      </c>
      <c r="E836" s="13" t="s">
        <v>412</v>
      </c>
      <c r="F836" s="15">
        <v>11405</v>
      </c>
      <c r="G836" s="15">
        <v>3329.49</v>
      </c>
      <c r="H836" s="15">
        <f>Table2[[#This Row],[Profit]]/Table2[[#This Row],[Sales]]</f>
        <v>0.2919324857518632</v>
      </c>
    </row>
    <row r="837" spans="1:8" ht="12" customHeight="1" x14ac:dyDescent="0.3">
      <c r="A837" s="13">
        <v>2836</v>
      </c>
      <c r="B837" s="14" t="s">
        <v>329</v>
      </c>
      <c r="C837" s="13" t="s">
        <v>402</v>
      </c>
      <c r="D837" s="13" t="s">
        <v>405</v>
      </c>
      <c r="E837" s="13" t="s">
        <v>411</v>
      </c>
      <c r="F837" s="15">
        <v>5491</v>
      </c>
      <c r="G837" s="15">
        <v>922.76</v>
      </c>
      <c r="H837" s="15">
        <f>Table2[[#This Row],[Profit]]/Table2[[#This Row],[Sales]]</f>
        <v>0.16804953560371516</v>
      </c>
    </row>
    <row r="838" spans="1:8" ht="12" customHeight="1" x14ac:dyDescent="0.3">
      <c r="A838" s="13">
        <v>2837</v>
      </c>
      <c r="B838" s="14" t="s">
        <v>363</v>
      </c>
      <c r="C838" s="13" t="s">
        <v>402</v>
      </c>
      <c r="D838" s="13" t="s">
        <v>410</v>
      </c>
      <c r="E838" s="13" t="s">
        <v>411</v>
      </c>
      <c r="F838" s="15">
        <v>22289</v>
      </c>
      <c r="G838" s="15">
        <v>3947.39</v>
      </c>
      <c r="H838" s="15">
        <f>Table2[[#This Row],[Profit]]/Table2[[#This Row],[Sales]]</f>
        <v>0.17710036340795907</v>
      </c>
    </row>
    <row r="839" spans="1:8" ht="12" customHeight="1" x14ac:dyDescent="0.3">
      <c r="A839" s="13">
        <v>2838</v>
      </c>
      <c r="B839" s="14" t="s">
        <v>33</v>
      </c>
      <c r="C839" s="13" t="s">
        <v>403</v>
      </c>
      <c r="D839" s="13" t="s">
        <v>407</v>
      </c>
      <c r="E839" s="13" t="s">
        <v>411</v>
      </c>
      <c r="F839" s="15">
        <v>15700</v>
      </c>
      <c r="G839" s="15">
        <v>3164.61</v>
      </c>
      <c r="H839" s="15">
        <f>Table2[[#This Row],[Profit]]/Table2[[#This Row],[Sales]]</f>
        <v>0.20156751592356689</v>
      </c>
    </row>
    <row r="840" spans="1:8" ht="12" customHeight="1" x14ac:dyDescent="0.3">
      <c r="A840" s="13">
        <v>2839</v>
      </c>
      <c r="B840" s="14" t="s">
        <v>311</v>
      </c>
      <c r="C840" s="13" t="s">
        <v>401</v>
      </c>
      <c r="D840" s="13" t="s">
        <v>407</v>
      </c>
      <c r="E840" s="13" t="s">
        <v>413</v>
      </c>
      <c r="F840" s="15">
        <v>15275</v>
      </c>
      <c r="G840" s="15">
        <v>2771.98</v>
      </c>
      <c r="H840" s="15">
        <f>Table2[[#This Row],[Profit]]/Table2[[#This Row],[Sales]]</f>
        <v>0.18147168576104747</v>
      </c>
    </row>
    <row r="841" spans="1:8" ht="12" customHeight="1" x14ac:dyDescent="0.3">
      <c r="A841" s="13">
        <v>2840</v>
      </c>
      <c r="B841" s="14" t="s">
        <v>59</v>
      </c>
      <c r="C841" s="13" t="s">
        <v>401</v>
      </c>
      <c r="D841" s="13" t="s">
        <v>408</v>
      </c>
      <c r="E841" s="13" t="s">
        <v>411</v>
      </c>
      <c r="F841" s="15">
        <v>24692</v>
      </c>
      <c r="G841" s="15">
        <v>5694.61</v>
      </c>
      <c r="H841" s="15">
        <f>Table2[[#This Row],[Profit]]/Table2[[#This Row],[Sales]]</f>
        <v>0.23062570873157295</v>
      </c>
    </row>
    <row r="842" spans="1:8" ht="12" customHeight="1" x14ac:dyDescent="0.3">
      <c r="A842" s="13">
        <v>2841</v>
      </c>
      <c r="B842" s="14" t="s">
        <v>216</v>
      </c>
      <c r="C842" s="13" t="s">
        <v>402</v>
      </c>
      <c r="D842" s="13" t="s">
        <v>407</v>
      </c>
      <c r="E842" s="13" t="s">
        <v>411</v>
      </c>
      <c r="F842" s="15">
        <v>9246</v>
      </c>
      <c r="G842" s="15">
        <v>2634.16</v>
      </c>
      <c r="H842" s="15">
        <f>Table2[[#This Row],[Profit]]/Table2[[#This Row],[Sales]]</f>
        <v>0.28489725286610423</v>
      </c>
    </row>
    <row r="843" spans="1:8" ht="12" customHeight="1" x14ac:dyDescent="0.3">
      <c r="A843" s="13">
        <v>2842</v>
      </c>
      <c r="B843" s="14" t="s">
        <v>294</v>
      </c>
      <c r="C843" s="13" t="s">
        <v>404</v>
      </c>
      <c r="D843" s="13" t="s">
        <v>410</v>
      </c>
      <c r="E843" s="13" t="s">
        <v>411</v>
      </c>
      <c r="F843" s="15">
        <v>26519</v>
      </c>
      <c r="G843" s="15">
        <v>3013.31</v>
      </c>
      <c r="H843" s="15">
        <f>Table2[[#This Row],[Profit]]/Table2[[#This Row],[Sales]]</f>
        <v>0.11362834194351219</v>
      </c>
    </row>
    <row r="844" spans="1:8" ht="12" customHeight="1" x14ac:dyDescent="0.3">
      <c r="A844" s="13">
        <v>2843</v>
      </c>
      <c r="B844" s="14" t="s">
        <v>140</v>
      </c>
      <c r="C844" s="13" t="s">
        <v>404</v>
      </c>
      <c r="D844" s="13" t="s">
        <v>405</v>
      </c>
      <c r="E844" s="13" t="s">
        <v>412</v>
      </c>
      <c r="F844" s="15">
        <v>29590</v>
      </c>
      <c r="G844" s="15">
        <v>3645.21</v>
      </c>
      <c r="H844" s="15">
        <f>Table2[[#This Row],[Profit]]/Table2[[#This Row],[Sales]]</f>
        <v>0.12319060493409936</v>
      </c>
    </row>
    <row r="845" spans="1:8" ht="12" customHeight="1" x14ac:dyDescent="0.3">
      <c r="A845" s="13">
        <v>2844</v>
      </c>
      <c r="B845" s="14" t="s">
        <v>140</v>
      </c>
      <c r="C845" s="13" t="s">
        <v>403</v>
      </c>
      <c r="D845" s="13" t="s">
        <v>406</v>
      </c>
      <c r="E845" s="13" t="s">
        <v>411</v>
      </c>
      <c r="F845" s="15">
        <v>12351</v>
      </c>
      <c r="G845" s="15">
        <v>3520.74</v>
      </c>
      <c r="H845" s="15">
        <f>Table2[[#This Row],[Profit]]/Table2[[#This Row],[Sales]]</f>
        <v>0.28505708039834832</v>
      </c>
    </row>
    <row r="846" spans="1:8" ht="12" customHeight="1" x14ac:dyDescent="0.3">
      <c r="A846" s="13">
        <v>2845</v>
      </c>
      <c r="B846" s="14" t="s">
        <v>291</v>
      </c>
      <c r="C846" s="13" t="s">
        <v>401</v>
      </c>
      <c r="D846" s="13" t="s">
        <v>406</v>
      </c>
      <c r="E846" s="13" t="s">
        <v>413</v>
      </c>
      <c r="F846" s="15">
        <v>24235</v>
      </c>
      <c r="G846" s="15">
        <v>2853.91</v>
      </c>
      <c r="H846" s="15">
        <f>Table2[[#This Row],[Profit]]/Table2[[#This Row],[Sales]]</f>
        <v>0.11775985145450794</v>
      </c>
    </row>
    <row r="847" spans="1:8" ht="12" customHeight="1" x14ac:dyDescent="0.3">
      <c r="A847" s="13">
        <v>2846</v>
      </c>
      <c r="B847" s="14" t="s">
        <v>114</v>
      </c>
      <c r="C847" s="13" t="s">
        <v>401</v>
      </c>
      <c r="D847" s="13" t="s">
        <v>408</v>
      </c>
      <c r="E847" s="13" t="s">
        <v>411</v>
      </c>
      <c r="F847" s="15">
        <v>6383</v>
      </c>
      <c r="G847" s="15">
        <v>1488.1</v>
      </c>
      <c r="H847" s="15">
        <f>Table2[[#This Row],[Profit]]/Table2[[#This Row],[Sales]]</f>
        <v>0.23313488955036815</v>
      </c>
    </row>
    <row r="848" spans="1:8" ht="12" customHeight="1" x14ac:dyDescent="0.3">
      <c r="A848" s="13">
        <v>2847</v>
      </c>
      <c r="B848" s="14" t="s">
        <v>230</v>
      </c>
      <c r="C848" s="13" t="s">
        <v>401</v>
      </c>
      <c r="D848" s="13" t="s">
        <v>406</v>
      </c>
      <c r="E848" s="13" t="s">
        <v>413</v>
      </c>
      <c r="F848" s="15">
        <v>29595</v>
      </c>
      <c r="G848" s="15">
        <v>5793.62</v>
      </c>
      <c r="H848" s="15">
        <f>Table2[[#This Row],[Profit]]/Table2[[#This Row],[Sales]]</f>
        <v>0.19576347355972293</v>
      </c>
    </row>
    <row r="849" spans="1:8" ht="12" customHeight="1" x14ac:dyDescent="0.3">
      <c r="A849" s="13">
        <v>2848</v>
      </c>
      <c r="B849" s="14" t="s">
        <v>132</v>
      </c>
      <c r="C849" s="13" t="s">
        <v>403</v>
      </c>
      <c r="D849" s="13" t="s">
        <v>406</v>
      </c>
      <c r="E849" s="13" t="s">
        <v>412</v>
      </c>
      <c r="F849" s="15">
        <v>3266</v>
      </c>
      <c r="G849" s="15">
        <v>392.96</v>
      </c>
      <c r="H849" s="15">
        <f>Table2[[#This Row],[Profit]]/Table2[[#This Row],[Sales]]</f>
        <v>0.12031843233312921</v>
      </c>
    </row>
    <row r="850" spans="1:8" ht="12" customHeight="1" x14ac:dyDescent="0.3">
      <c r="A850" s="13">
        <v>2849</v>
      </c>
      <c r="B850" s="14" t="s">
        <v>356</v>
      </c>
      <c r="C850" s="13" t="s">
        <v>401</v>
      </c>
      <c r="D850" s="13" t="s">
        <v>409</v>
      </c>
      <c r="E850" s="13" t="s">
        <v>412</v>
      </c>
      <c r="F850" s="15">
        <v>27997</v>
      </c>
      <c r="G850" s="15">
        <v>8150.91</v>
      </c>
      <c r="H850" s="15">
        <f>Table2[[#This Row],[Profit]]/Table2[[#This Row],[Sales]]</f>
        <v>0.29113512162017358</v>
      </c>
    </row>
    <row r="851" spans="1:8" ht="12" customHeight="1" x14ac:dyDescent="0.3">
      <c r="A851" s="13">
        <v>2850</v>
      </c>
      <c r="B851" s="14" t="s">
        <v>119</v>
      </c>
      <c r="C851" s="13" t="s">
        <v>404</v>
      </c>
      <c r="D851" s="13" t="s">
        <v>409</v>
      </c>
      <c r="E851" s="13" t="s">
        <v>412</v>
      </c>
      <c r="F851" s="15">
        <v>23632</v>
      </c>
      <c r="G851" s="15">
        <v>3501.54</v>
      </c>
      <c r="H851" s="15">
        <f>Table2[[#This Row],[Profit]]/Table2[[#This Row],[Sales]]</f>
        <v>0.14816943127962084</v>
      </c>
    </row>
    <row r="852" spans="1:8" ht="12" customHeight="1" x14ac:dyDescent="0.3">
      <c r="A852" s="13">
        <v>2851</v>
      </c>
      <c r="B852" s="14" t="s">
        <v>35</v>
      </c>
      <c r="C852" s="13" t="s">
        <v>403</v>
      </c>
      <c r="D852" s="13" t="s">
        <v>407</v>
      </c>
      <c r="E852" s="13" t="s">
        <v>413</v>
      </c>
      <c r="F852" s="15">
        <v>8119</v>
      </c>
      <c r="G852" s="15">
        <v>2169.94</v>
      </c>
      <c r="H852" s="15">
        <f>Table2[[#This Row],[Profit]]/Table2[[#This Row],[Sales]]</f>
        <v>0.26726690479123044</v>
      </c>
    </row>
    <row r="853" spans="1:8" ht="12" customHeight="1" x14ac:dyDescent="0.3">
      <c r="A853" s="13">
        <v>2852</v>
      </c>
      <c r="B853" s="14" t="s">
        <v>260</v>
      </c>
      <c r="C853" s="13" t="s">
        <v>404</v>
      </c>
      <c r="D853" s="13" t="s">
        <v>410</v>
      </c>
      <c r="E853" s="13" t="s">
        <v>411</v>
      </c>
      <c r="F853" s="15">
        <v>14213</v>
      </c>
      <c r="G853" s="15">
        <v>2325.3200000000002</v>
      </c>
      <c r="H853" s="15">
        <f>Table2[[#This Row],[Profit]]/Table2[[#This Row],[Sales]]</f>
        <v>0.16360515021459229</v>
      </c>
    </row>
    <row r="854" spans="1:8" ht="12" customHeight="1" x14ac:dyDescent="0.3">
      <c r="A854" s="13">
        <v>2853</v>
      </c>
      <c r="B854" s="14" t="s">
        <v>82</v>
      </c>
      <c r="C854" s="13" t="s">
        <v>403</v>
      </c>
      <c r="D854" s="13" t="s">
        <v>405</v>
      </c>
      <c r="E854" s="13" t="s">
        <v>413</v>
      </c>
      <c r="F854" s="15">
        <v>1928</v>
      </c>
      <c r="G854" s="15">
        <v>442.98</v>
      </c>
      <c r="H854" s="15">
        <f>Table2[[#This Row],[Profit]]/Table2[[#This Row],[Sales]]</f>
        <v>0.22976141078838175</v>
      </c>
    </row>
    <row r="855" spans="1:8" ht="12" customHeight="1" x14ac:dyDescent="0.3">
      <c r="A855" s="13">
        <v>2854</v>
      </c>
      <c r="B855" s="14" t="s">
        <v>195</v>
      </c>
      <c r="C855" s="13" t="s">
        <v>404</v>
      </c>
      <c r="D855" s="13" t="s">
        <v>409</v>
      </c>
      <c r="E855" s="13" t="s">
        <v>412</v>
      </c>
      <c r="F855" s="15">
        <v>17391</v>
      </c>
      <c r="G855" s="15">
        <v>4852.04</v>
      </c>
      <c r="H855" s="15">
        <f>Table2[[#This Row],[Profit]]/Table2[[#This Row],[Sales]]</f>
        <v>0.27899718245069288</v>
      </c>
    </row>
    <row r="856" spans="1:8" ht="12" customHeight="1" x14ac:dyDescent="0.3">
      <c r="A856" s="13">
        <v>2855</v>
      </c>
      <c r="B856" s="14" t="s">
        <v>148</v>
      </c>
      <c r="C856" s="13" t="s">
        <v>404</v>
      </c>
      <c r="D856" s="13" t="s">
        <v>406</v>
      </c>
      <c r="E856" s="13" t="s">
        <v>412</v>
      </c>
      <c r="F856" s="15">
        <v>12994</v>
      </c>
      <c r="G856" s="15">
        <v>1421.67</v>
      </c>
      <c r="H856" s="15">
        <f>Table2[[#This Row],[Profit]]/Table2[[#This Row],[Sales]]</f>
        <v>0.10940972756656919</v>
      </c>
    </row>
    <row r="857" spans="1:8" ht="12" customHeight="1" x14ac:dyDescent="0.3">
      <c r="A857" s="13">
        <v>2856</v>
      </c>
      <c r="B857" s="14" t="s">
        <v>339</v>
      </c>
      <c r="C857" s="13" t="s">
        <v>402</v>
      </c>
      <c r="D857" s="13" t="s">
        <v>406</v>
      </c>
      <c r="E857" s="13" t="s">
        <v>413</v>
      </c>
      <c r="F857" s="15">
        <v>11369</v>
      </c>
      <c r="G857" s="15">
        <v>1809.63</v>
      </c>
      <c r="H857" s="15">
        <f>Table2[[#This Row],[Profit]]/Table2[[#This Row],[Sales]]</f>
        <v>0.15917231066936408</v>
      </c>
    </row>
    <row r="858" spans="1:8" ht="12" customHeight="1" x14ac:dyDescent="0.3">
      <c r="A858" s="13">
        <v>2857</v>
      </c>
      <c r="B858" s="14" t="s">
        <v>137</v>
      </c>
      <c r="C858" s="13" t="s">
        <v>402</v>
      </c>
      <c r="D858" s="13" t="s">
        <v>410</v>
      </c>
      <c r="E858" s="13" t="s">
        <v>413</v>
      </c>
      <c r="F858" s="15">
        <v>13162</v>
      </c>
      <c r="G858" s="15">
        <v>2902.43</v>
      </c>
      <c r="H858" s="15">
        <f>Table2[[#This Row],[Profit]]/Table2[[#This Row],[Sales]]</f>
        <v>0.22051587904573772</v>
      </c>
    </row>
    <row r="859" spans="1:8" ht="12" customHeight="1" x14ac:dyDescent="0.3">
      <c r="A859" s="13">
        <v>2858</v>
      </c>
      <c r="B859" s="14" t="s">
        <v>138</v>
      </c>
      <c r="C859" s="13" t="s">
        <v>402</v>
      </c>
      <c r="D859" s="13" t="s">
        <v>406</v>
      </c>
      <c r="E859" s="13" t="s">
        <v>413</v>
      </c>
      <c r="F859" s="15">
        <v>24946</v>
      </c>
      <c r="G859" s="15">
        <v>5072.83</v>
      </c>
      <c r="H859" s="15">
        <f>Table2[[#This Row],[Profit]]/Table2[[#This Row],[Sales]]</f>
        <v>0.20335244127315</v>
      </c>
    </row>
    <row r="860" spans="1:8" ht="12" customHeight="1" x14ac:dyDescent="0.3">
      <c r="A860" s="13">
        <v>2859</v>
      </c>
      <c r="B860" s="14" t="s">
        <v>382</v>
      </c>
      <c r="C860" s="13" t="s">
        <v>403</v>
      </c>
      <c r="D860" s="13" t="s">
        <v>406</v>
      </c>
      <c r="E860" s="13" t="s">
        <v>411</v>
      </c>
      <c r="F860" s="15">
        <v>24028</v>
      </c>
      <c r="G860" s="15">
        <v>6351.29</v>
      </c>
      <c r="H860" s="15">
        <f>Table2[[#This Row],[Profit]]/Table2[[#This Row],[Sales]]</f>
        <v>0.26432869985017482</v>
      </c>
    </row>
    <row r="861" spans="1:8" ht="12" customHeight="1" x14ac:dyDescent="0.3">
      <c r="A861" s="13">
        <v>2860</v>
      </c>
      <c r="B861" s="14" t="s">
        <v>281</v>
      </c>
      <c r="C861" s="13" t="s">
        <v>401</v>
      </c>
      <c r="D861" s="13" t="s">
        <v>408</v>
      </c>
      <c r="E861" s="13" t="s">
        <v>411</v>
      </c>
      <c r="F861" s="15">
        <v>23320</v>
      </c>
      <c r="G861" s="15">
        <v>5170.2299999999996</v>
      </c>
      <c r="H861" s="15">
        <f>Table2[[#This Row],[Profit]]/Table2[[#This Row],[Sales]]</f>
        <v>0.22170797598627787</v>
      </c>
    </row>
    <row r="862" spans="1:8" ht="12" customHeight="1" x14ac:dyDescent="0.3">
      <c r="A862" s="13">
        <v>2861</v>
      </c>
      <c r="B862" s="14" t="s">
        <v>378</v>
      </c>
      <c r="C862" s="13" t="s">
        <v>401</v>
      </c>
      <c r="D862" s="13" t="s">
        <v>408</v>
      </c>
      <c r="E862" s="13" t="s">
        <v>411</v>
      </c>
      <c r="F862" s="15">
        <v>24660</v>
      </c>
      <c r="G862" s="15">
        <v>5537.21</v>
      </c>
      <c r="H862" s="15">
        <f>Table2[[#This Row],[Profit]]/Table2[[#This Row],[Sales]]</f>
        <v>0.22454217356042175</v>
      </c>
    </row>
    <row r="863" spans="1:8" ht="12" customHeight="1" x14ac:dyDescent="0.3">
      <c r="A863" s="13">
        <v>2862</v>
      </c>
      <c r="B863" s="14" t="s">
        <v>383</v>
      </c>
      <c r="C863" s="13" t="s">
        <v>402</v>
      </c>
      <c r="D863" s="13" t="s">
        <v>410</v>
      </c>
      <c r="E863" s="13" t="s">
        <v>411</v>
      </c>
      <c r="F863" s="15">
        <v>14861</v>
      </c>
      <c r="G863" s="15">
        <v>3661.64</v>
      </c>
      <c r="H863" s="15">
        <f>Table2[[#This Row],[Profit]]/Table2[[#This Row],[Sales]]</f>
        <v>0.24639257115941052</v>
      </c>
    </row>
    <row r="864" spans="1:8" ht="12" customHeight="1" x14ac:dyDescent="0.3">
      <c r="A864" s="13">
        <v>2863</v>
      </c>
      <c r="B864" s="14" t="s">
        <v>335</v>
      </c>
      <c r="C864" s="13" t="s">
        <v>404</v>
      </c>
      <c r="D864" s="13" t="s">
        <v>405</v>
      </c>
      <c r="E864" s="13" t="s">
        <v>413</v>
      </c>
      <c r="F864" s="15">
        <v>23511</v>
      </c>
      <c r="G864" s="15">
        <v>2861.04</v>
      </c>
      <c r="H864" s="15">
        <f>Table2[[#This Row],[Profit]]/Table2[[#This Row],[Sales]]</f>
        <v>0.12168942197269363</v>
      </c>
    </row>
    <row r="865" spans="1:8" ht="12" customHeight="1" x14ac:dyDescent="0.3">
      <c r="A865" s="13">
        <v>2864</v>
      </c>
      <c r="B865" s="14" t="s">
        <v>122</v>
      </c>
      <c r="C865" s="13" t="s">
        <v>404</v>
      </c>
      <c r="D865" s="13" t="s">
        <v>406</v>
      </c>
      <c r="E865" s="13" t="s">
        <v>413</v>
      </c>
      <c r="F865" s="15">
        <v>29137</v>
      </c>
      <c r="G865" s="15">
        <v>8493.59</v>
      </c>
      <c r="H865" s="15">
        <f>Table2[[#This Row],[Profit]]/Table2[[#This Row],[Sales]]</f>
        <v>0.29150530253629409</v>
      </c>
    </row>
    <row r="866" spans="1:8" ht="12" customHeight="1" x14ac:dyDescent="0.3">
      <c r="A866" s="13">
        <v>2865</v>
      </c>
      <c r="B866" s="14" t="s">
        <v>308</v>
      </c>
      <c r="C866" s="13" t="s">
        <v>404</v>
      </c>
      <c r="D866" s="13" t="s">
        <v>408</v>
      </c>
      <c r="E866" s="13" t="s">
        <v>411</v>
      </c>
      <c r="F866" s="15">
        <v>19052</v>
      </c>
      <c r="G866" s="15">
        <v>1661.51</v>
      </c>
      <c r="H866" s="15">
        <f>Table2[[#This Row],[Profit]]/Table2[[#This Row],[Sales]]</f>
        <v>8.7209216880117568E-2</v>
      </c>
    </row>
    <row r="867" spans="1:8" ht="12" customHeight="1" x14ac:dyDescent="0.3">
      <c r="A867" s="13">
        <v>2866</v>
      </c>
      <c r="B867" s="14" t="s">
        <v>123</v>
      </c>
      <c r="C867" s="13" t="s">
        <v>403</v>
      </c>
      <c r="D867" s="13" t="s">
        <v>410</v>
      </c>
      <c r="E867" s="13" t="s">
        <v>411</v>
      </c>
      <c r="F867" s="15">
        <v>5190</v>
      </c>
      <c r="G867" s="15">
        <v>822.97</v>
      </c>
      <c r="H867" s="15">
        <f>Table2[[#This Row],[Profit]]/Table2[[#This Row],[Sales]]</f>
        <v>0.15856840077071291</v>
      </c>
    </row>
    <row r="868" spans="1:8" ht="12" customHeight="1" x14ac:dyDescent="0.3">
      <c r="A868" s="13">
        <v>2867</v>
      </c>
      <c r="B868" s="14" t="s">
        <v>90</v>
      </c>
      <c r="C868" s="13" t="s">
        <v>404</v>
      </c>
      <c r="D868" s="13" t="s">
        <v>408</v>
      </c>
      <c r="E868" s="13" t="s">
        <v>413</v>
      </c>
      <c r="F868" s="15">
        <v>17278</v>
      </c>
      <c r="G868" s="15">
        <v>4942.12</v>
      </c>
      <c r="H868" s="15">
        <f>Table2[[#This Row],[Profit]]/Table2[[#This Row],[Sales]]</f>
        <v>0.2860354207662924</v>
      </c>
    </row>
    <row r="869" spans="1:8" ht="12" customHeight="1" x14ac:dyDescent="0.3">
      <c r="A869" s="13">
        <v>2868</v>
      </c>
      <c r="B869" s="14" t="s">
        <v>60</v>
      </c>
      <c r="C869" s="13" t="s">
        <v>402</v>
      </c>
      <c r="D869" s="13" t="s">
        <v>410</v>
      </c>
      <c r="E869" s="13" t="s">
        <v>412</v>
      </c>
      <c r="F869" s="15">
        <v>14078</v>
      </c>
      <c r="G869" s="15">
        <v>4086.01</v>
      </c>
      <c r="H869" s="15">
        <f>Table2[[#This Row],[Profit]]/Table2[[#This Row],[Sales]]</f>
        <v>0.29024080125017759</v>
      </c>
    </row>
    <row r="870" spans="1:8" ht="12" customHeight="1" x14ac:dyDescent="0.3">
      <c r="A870" s="13">
        <v>2869</v>
      </c>
      <c r="B870" s="14" t="s">
        <v>66</v>
      </c>
      <c r="C870" s="13" t="s">
        <v>403</v>
      </c>
      <c r="D870" s="13" t="s">
        <v>408</v>
      </c>
      <c r="E870" s="13" t="s">
        <v>413</v>
      </c>
      <c r="F870" s="15">
        <v>1077</v>
      </c>
      <c r="G870" s="15">
        <v>208.09</v>
      </c>
      <c r="H870" s="15">
        <f>Table2[[#This Row],[Profit]]/Table2[[#This Row],[Sales]]</f>
        <v>0.19321262766945219</v>
      </c>
    </row>
    <row r="871" spans="1:8" ht="12" customHeight="1" x14ac:dyDescent="0.3">
      <c r="A871" s="13">
        <v>2870</v>
      </c>
      <c r="B871" s="14" t="s">
        <v>74</v>
      </c>
      <c r="C871" s="13" t="s">
        <v>402</v>
      </c>
      <c r="D871" s="13" t="s">
        <v>406</v>
      </c>
      <c r="E871" s="13" t="s">
        <v>413</v>
      </c>
      <c r="F871" s="15">
        <v>26878</v>
      </c>
      <c r="G871" s="15">
        <v>6568.39</v>
      </c>
      <c r="H871" s="15">
        <f>Table2[[#This Row],[Profit]]/Table2[[#This Row],[Sales]]</f>
        <v>0.24437792990549892</v>
      </c>
    </row>
    <row r="872" spans="1:8" ht="12" customHeight="1" x14ac:dyDescent="0.3">
      <c r="A872" s="13">
        <v>2871</v>
      </c>
      <c r="B872" s="14" t="s">
        <v>42</v>
      </c>
      <c r="C872" s="13" t="s">
        <v>404</v>
      </c>
      <c r="D872" s="13" t="s">
        <v>409</v>
      </c>
      <c r="E872" s="13" t="s">
        <v>411</v>
      </c>
      <c r="F872" s="15">
        <v>7861</v>
      </c>
      <c r="G872" s="15">
        <v>1714.39</v>
      </c>
      <c r="H872" s="15">
        <f>Table2[[#This Row],[Profit]]/Table2[[#This Row],[Sales]]</f>
        <v>0.21808802951278464</v>
      </c>
    </row>
    <row r="873" spans="1:8" ht="12" customHeight="1" x14ac:dyDescent="0.3">
      <c r="A873" s="13">
        <v>2872</v>
      </c>
      <c r="B873" s="14" t="s">
        <v>133</v>
      </c>
      <c r="C873" s="13" t="s">
        <v>403</v>
      </c>
      <c r="D873" s="13" t="s">
        <v>410</v>
      </c>
      <c r="E873" s="13" t="s">
        <v>413</v>
      </c>
      <c r="F873" s="15">
        <v>23106</v>
      </c>
      <c r="G873" s="15">
        <v>5298.64</v>
      </c>
      <c r="H873" s="15">
        <f>Table2[[#This Row],[Profit]]/Table2[[#This Row],[Sales]]</f>
        <v>0.22931879165584698</v>
      </c>
    </row>
    <row r="874" spans="1:8" ht="12" customHeight="1" x14ac:dyDescent="0.3">
      <c r="A874" s="13">
        <v>2873</v>
      </c>
      <c r="B874" s="14" t="s">
        <v>384</v>
      </c>
      <c r="C874" s="13" t="s">
        <v>404</v>
      </c>
      <c r="D874" s="13" t="s">
        <v>408</v>
      </c>
      <c r="E874" s="13" t="s">
        <v>412</v>
      </c>
      <c r="F874" s="15">
        <v>20597</v>
      </c>
      <c r="G874" s="15">
        <v>1787.42</v>
      </c>
      <c r="H874" s="15">
        <f>Table2[[#This Row],[Profit]]/Table2[[#This Row],[Sales]]</f>
        <v>8.6780599116376173E-2</v>
      </c>
    </row>
    <row r="875" spans="1:8" ht="12" customHeight="1" x14ac:dyDescent="0.3">
      <c r="A875" s="13">
        <v>2874</v>
      </c>
      <c r="B875" s="14" t="s">
        <v>230</v>
      </c>
      <c r="C875" s="13" t="s">
        <v>404</v>
      </c>
      <c r="D875" s="13" t="s">
        <v>407</v>
      </c>
      <c r="E875" s="13" t="s">
        <v>412</v>
      </c>
      <c r="F875" s="15">
        <v>6985</v>
      </c>
      <c r="G875" s="15">
        <v>1414.39</v>
      </c>
      <c r="H875" s="15">
        <f>Table2[[#This Row],[Profit]]/Table2[[#This Row],[Sales]]</f>
        <v>0.20248962061560488</v>
      </c>
    </row>
    <row r="876" spans="1:8" ht="12" customHeight="1" x14ac:dyDescent="0.3">
      <c r="A876" s="13">
        <v>2875</v>
      </c>
      <c r="B876" s="14" t="s">
        <v>385</v>
      </c>
      <c r="C876" s="13" t="s">
        <v>404</v>
      </c>
      <c r="D876" s="13" t="s">
        <v>409</v>
      </c>
      <c r="E876" s="13" t="s">
        <v>413</v>
      </c>
      <c r="F876" s="15">
        <v>27744</v>
      </c>
      <c r="G876" s="15">
        <v>6013.5</v>
      </c>
      <c r="H876" s="15">
        <f>Table2[[#This Row],[Profit]]/Table2[[#This Row],[Sales]]</f>
        <v>0.21674956747404844</v>
      </c>
    </row>
    <row r="877" spans="1:8" ht="12" customHeight="1" x14ac:dyDescent="0.3">
      <c r="A877" s="13">
        <v>2876</v>
      </c>
      <c r="B877" s="14" t="s">
        <v>39</v>
      </c>
      <c r="C877" s="13" t="s">
        <v>403</v>
      </c>
      <c r="D877" s="13" t="s">
        <v>408</v>
      </c>
      <c r="E877" s="13" t="s">
        <v>411</v>
      </c>
      <c r="F877" s="15">
        <v>22469</v>
      </c>
      <c r="G877" s="15">
        <v>4183.25</v>
      </c>
      <c r="H877" s="15">
        <f>Table2[[#This Row],[Profit]]/Table2[[#This Row],[Sales]]</f>
        <v>0.18617873514620142</v>
      </c>
    </row>
    <row r="878" spans="1:8" ht="12" customHeight="1" x14ac:dyDescent="0.3">
      <c r="A878" s="13">
        <v>2877</v>
      </c>
      <c r="B878" s="14" t="s">
        <v>386</v>
      </c>
      <c r="C878" s="13" t="s">
        <v>403</v>
      </c>
      <c r="D878" s="13" t="s">
        <v>405</v>
      </c>
      <c r="E878" s="13" t="s">
        <v>413</v>
      </c>
      <c r="F878" s="15">
        <v>10466</v>
      </c>
      <c r="G878" s="15">
        <v>1246.8499999999999</v>
      </c>
      <c r="H878" s="15">
        <f>Table2[[#This Row],[Profit]]/Table2[[#This Row],[Sales]]</f>
        <v>0.11913338429199311</v>
      </c>
    </row>
    <row r="879" spans="1:8" ht="12" customHeight="1" x14ac:dyDescent="0.3">
      <c r="A879" s="13">
        <v>2878</v>
      </c>
      <c r="B879" s="14" t="s">
        <v>176</v>
      </c>
      <c r="C879" s="13" t="s">
        <v>402</v>
      </c>
      <c r="D879" s="13" t="s">
        <v>408</v>
      </c>
      <c r="E879" s="13" t="s">
        <v>412</v>
      </c>
      <c r="F879" s="15">
        <v>22311</v>
      </c>
      <c r="G879" s="15">
        <v>6236.66</v>
      </c>
      <c r="H879" s="15">
        <f>Table2[[#This Row],[Profit]]/Table2[[#This Row],[Sales]]</f>
        <v>0.27953296580162251</v>
      </c>
    </row>
    <row r="880" spans="1:8" ht="12" customHeight="1" x14ac:dyDescent="0.3">
      <c r="A880" s="13">
        <v>2879</v>
      </c>
      <c r="B880" s="14" t="s">
        <v>56</v>
      </c>
      <c r="C880" s="13" t="s">
        <v>401</v>
      </c>
      <c r="D880" s="13" t="s">
        <v>406</v>
      </c>
      <c r="E880" s="13" t="s">
        <v>411</v>
      </c>
      <c r="F880" s="15">
        <v>27253</v>
      </c>
      <c r="G880" s="15">
        <v>3410.31</v>
      </c>
      <c r="H880" s="15">
        <f>Table2[[#This Row],[Profit]]/Table2[[#This Row],[Sales]]</f>
        <v>0.12513521447180126</v>
      </c>
    </row>
    <row r="881" spans="1:8" ht="12" customHeight="1" x14ac:dyDescent="0.3">
      <c r="A881" s="13">
        <v>2880</v>
      </c>
      <c r="B881" s="14" t="s">
        <v>157</v>
      </c>
      <c r="C881" s="13" t="s">
        <v>401</v>
      </c>
      <c r="D881" s="13" t="s">
        <v>409</v>
      </c>
      <c r="E881" s="13" t="s">
        <v>411</v>
      </c>
      <c r="F881" s="15">
        <v>27035</v>
      </c>
      <c r="G881" s="15">
        <v>6176.28</v>
      </c>
      <c r="H881" s="15">
        <f>Table2[[#This Row],[Profit]]/Table2[[#This Row],[Sales]]</f>
        <v>0.22845496578509339</v>
      </c>
    </row>
    <row r="882" spans="1:8" ht="12" customHeight="1" x14ac:dyDescent="0.3">
      <c r="A882" s="13">
        <v>2881</v>
      </c>
      <c r="B882" s="14" t="s">
        <v>133</v>
      </c>
      <c r="C882" s="13" t="s">
        <v>401</v>
      </c>
      <c r="D882" s="13" t="s">
        <v>408</v>
      </c>
      <c r="E882" s="13" t="s">
        <v>411</v>
      </c>
      <c r="F882" s="15">
        <v>1566</v>
      </c>
      <c r="G882" s="15">
        <v>353.34</v>
      </c>
      <c r="H882" s="15">
        <f>Table2[[#This Row],[Profit]]/Table2[[#This Row],[Sales]]</f>
        <v>0.22563218390804596</v>
      </c>
    </row>
    <row r="883" spans="1:8" ht="12" customHeight="1" x14ac:dyDescent="0.3">
      <c r="A883" s="13">
        <v>2882</v>
      </c>
      <c r="B883" s="14" t="s">
        <v>58</v>
      </c>
      <c r="C883" s="13" t="s">
        <v>403</v>
      </c>
      <c r="D883" s="13" t="s">
        <v>407</v>
      </c>
      <c r="E883" s="13" t="s">
        <v>411</v>
      </c>
      <c r="F883" s="15">
        <v>4776</v>
      </c>
      <c r="G883" s="15">
        <v>1333.21</v>
      </c>
      <c r="H883" s="15">
        <f>Table2[[#This Row],[Profit]]/Table2[[#This Row],[Sales]]</f>
        <v>0.27914782244556113</v>
      </c>
    </row>
    <row r="884" spans="1:8" ht="12" customHeight="1" x14ac:dyDescent="0.3">
      <c r="A884" s="13">
        <v>2883</v>
      </c>
      <c r="B884" s="14" t="s">
        <v>380</v>
      </c>
      <c r="C884" s="13" t="s">
        <v>403</v>
      </c>
      <c r="D884" s="13" t="s">
        <v>409</v>
      </c>
      <c r="E884" s="13" t="s">
        <v>413</v>
      </c>
      <c r="F884" s="15">
        <v>27158</v>
      </c>
      <c r="G884" s="15">
        <v>6152.76</v>
      </c>
      <c r="H884" s="15">
        <f>Table2[[#This Row],[Profit]]/Table2[[#This Row],[Sales]]</f>
        <v>0.22655423816186759</v>
      </c>
    </row>
    <row r="885" spans="1:8" ht="12" customHeight="1" x14ac:dyDescent="0.3">
      <c r="A885" s="13">
        <v>2884</v>
      </c>
      <c r="B885" s="14" t="s">
        <v>8</v>
      </c>
      <c r="C885" s="13" t="s">
        <v>401</v>
      </c>
      <c r="D885" s="13" t="s">
        <v>410</v>
      </c>
      <c r="E885" s="13" t="s">
        <v>413</v>
      </c>
      <c r="F885" s="15">
        <v>16310</v>
      </c>
      <c r="G885" s="15">
        <v>1873.04</v>
      </c>
      <c r="H885" s="15">
        <f>Table2[[#This Row],[Profit]]/Table2[[#This Row],[Sales]]</f>
        <v>0.11483997547516861</v>
      </c>
    </row>
    <row r="886" spans="1:8" ht="12" customHeight="1" x14ac:dyDescent="0.3">
      <c r="A886" s="13">
        <v>2885</v>
      </c>
      <c r="B886" s="14" t="s">
        <v>269</v>
      </c>
      <c r="C886" s="13" t="s">
        <v>402</v>
      </c>
      <c r="D886" s="13" t="s">
        <v>407</v>
      </c>
      <c r="E886" s="13" t="s">
        <v>411</v>
      </c>
      <c r="F886" s="15">
        <v>15856</v>
      </c>
      <c r="G886" s="15">
        <v>3829.84</v>
      </c>
      <c r="H886" s="15">
        <f>Table2[[#This Row],[Profit]]/Table2[[#This Row],[Sales]]</f>
        <v>0.2415388496468214</v>
      </c>
    </row>
    <row r="887" spans="1:8" ht="12" customHeight="1" x14ac:dyDescent="0.3">
      <c r="A887" s="13">
        <v>2886</v>
      </c>
      <c r="B887" s="14" t="s">
        <v>90</v>
      </c>
      <c r="C887" s="13" t="s">
        <v>402</v>
      </c>
      <c r="D887" s="13" t="s">
        <v>407</v>
      </c>
      <c r="E887" s="13" t="s">
        <v>411</v>
      </c>
      <c r="F887" s="15">
        <v>7474</v>
      </c>
      <c r="G887" s="15">
        <v>1791.68</v>
      </c>
      <c r="H887" s="15">
        <f>Table2[[#This Row],[Profit]]/Table2[[#This Row],[Sales]]</f>
        <v>0.23972170189991973</v>
      </c>
    </row>
    <row r="888" spans="1:8" ht="12" customHeight="1" x14ac:dyDescent="0.3">
      <c r="A888" s="13">
        <v>2887</v>
      </c>
      <c r="B888" s="14" t="s">
        <v>310</v>
      </c>
      <c r="C888" s="13" t="s">
        <v>401</v>
      </c>
      <c r="D888" s="13" t="s">
        <v>409</v>
      </c>
      <c r="E888" s="13" t="s">
        <v>412</v>
      </c>
      <c r="F888" s="15">
        <v>4895</v>
      </c>
      <c r="G888" s="15">
        <v>1183.3800000000001</v>
      </c>
      <c r="H888" s="15">
        <f>Table2[[#This Row],[Profit]]/Table2[[#This Row],[Sales]]</f>
        <v>0.24175280898876406</v>
      </c>
    </row>
    <row r="889" spans="1:8" ht="12" customHeight="1" x14ac:dyDescent="0.3">
      <c r="A889" s="13">
        <v>2888</v>
      </c>
      <c r="B889" s="14" t="s">
        <v>128</v>
      </c>
      <c r="C889" s="13" t="s">
        <v>401</v>
      </c>
      <c r="D889" s="13" t="s">
        <v>408</v>
      </c>
      <c r="E889" s="13" t="s">
        <v>412</v>
      </c>
      <c r="F889" s="15">
        <v>12102</v>
      </c>
      <c r="G889" s="15">
        <v>2391.36</v>
      </c>
      <c r="H889" s="15">
        <f>Table2[[#This Row],[Profit]]/Table2[[#This Row],[Sales]]</f>
        <v>0.19760039662865644</v>
      </c>
    </row>
    <row r="890" spans="1:8" ht="12" customHeight="1" x14ac:dyDescent="0.3">
      <c r="A890" s="13">
        <v>2889</v>
      </c>
      <c r="B890" s="14" t="s">
        <v>387</v>
      </c>
      <c r="C890" s="13" t="s">
        <v>402</v>
      </c>
      <c r="D890" s="13" t="s">
        <v>409</v>
      </c>
      <c r="E890" s="13" t="s">
        <v>411</v>
      </c>
      <c r="F890" s="15">
        <v>18606</v>
      </c>
      <c r="G890" s="15">
        <v>5417.53</v>
      </c>
      <c r="H890" s="15">
        <f>Table2[[#This Row],[Profit]]/Table2[[#This Row],[Sales]]</f>
        <v>0.29117112759324948</v>
      </c>
    </row>
    <row r="891" spans="1:8" ht="12" customHeight="1" x14ac:dyDescent="0.3">
      <c r="A891" s="13">
        <v>2890</v>
      </c>
      <c r="B891" s="14" t="s">
        <v>358</v>
      </c>
      <c r="C891" s="13" t="s">
        <v>403</v>
      </c>
      <c r="D891" s="13" t="s">
        <v>407</v>
      </c>
      <c r="E891" s="13" t="s">
        <v>411</v>
      </c>
      <c r="F891" s="15">
        <v>12946</v>
      </c>
      <c r="G891" s="15">
        <v>3373.7</v>
      </c>
      <c r="H891" s="15">
        <f>Table2[[#This Row],[Profit]]/Table2[[#This Row],[Sales]]</f>
        <v>0.26059786806735669</v>
      </c>
    </row>
    <row r="892" spans="1:8" ht="12" customHeight="1" x14ac:dyDescent="0.3">
      <c r="A892" s="13">
        <v>2891</v>
      </c>
      <c r="B892" s="14" t="s">
        <v>227</v>
      </c>
      <c r="C892" s="13" t="s">
        <v>401</v>
      </c>
      <c r="D892" s="13" t="s">
        <v>407</v>
      </c>
      <c r="E892" s="13" t="s">
        <v>411</v>
      </c>
      <c r="F892" s="15">
        <v>20265</v>
      </c>
      <c r="G892" s="15">
        <v>6027.81</v>
      </c>
      <c r="H892" s="15">
        <f>Table2[[#This Row],[Profit]]/Table2[[#This Row],[Sales]]</f>
        <v>0.29744929681717247</v>
      </c>
    </row>
    <row r="893" spans="1:8" ht="12" customHeight="1" x14ac:dyDescent="0.3">
      <c r="A893" s="13">
        <v>2892</v>
      </c>
      <c r="B893" s="14" t="s">
        <v>89</v>
      </c>
      <c r="C893" s="13" t="s">
        <v>401</v>
      </c>
      <c r="D893" s="13" t="s">
        <v>408</v>
      </c>
      <c r="E893" s="13" t="s">
        <v>413</v>
      </c>
      <c r="F893" s="15">
        <v>10344</v>
      </c>
      <c r="G893" s="15">
        <v>2897.16</v>
      </c>
      <c r="H893" s="15">
        <f>Table2[[#This Row],[Profit]]/Table2[[#This Row],[Sales]]</f>
        <v>0.28008120649651969</v>
      </c>
    </row>
    <row r="894" spans="1:8" ht="12" customHeight="1" x14ac:dyDescent="0.3">
      <c r="A894" s="13">
        <v>2893</v>
      </c>
      <c r="B894" s="14" t="s">
        <v>53</v>
      </c>
      <c r="C894" s="13" t="s">
        <v>402</v>
      </c>
      <c r="D894" s="13" t="s">
        <v>407</v>
      </c>
      <c r="E894" s="13" t="s">
        <v>412</v>
      </c>
      <c r="F894" s="15">
        <v>11427</v>
      </c>
      <c r="G894" s="15">
        <v>2588.39</v>
      </c>
      <c r="H894" s="15">
        <f>Table2[[#This Row],[Profit]]/Table2[[#This Row],[Sales]]</f>
        <v>0.22651527084974182</v>
      </c>
    </row>
    <row r="895" spans="1:8" ht="12" customHeight="1" x14ac:dyDescent="0.3">
      <c r="A895" s="13">
        <v>2894</v>
      </c>
      <c r="B895" s="14" t="s">
        <v>167</v>
      </c>
      <c r="C895" s="13" t="s">
        <v>402</v>
      </c>
      <c r="D895" s="13" t="s">
        <v>408</v>
      </c>
      <c r="E895" s="13" t="s">
        <v>411</v>
      </c>
      <c r="F895" s="15">
        <v>26588</v>
      </c>
      <c r="G895" s="15">
        <v>2761.2</v>
      </c>
      <c r="H895" s="15">
        <f>Table2[[#This Row],[Profit]]/Table2[[#This Row],[Sales]]</f>
        <v>0.10385136151647359</v>
      </c>
    </row>
    <row r="896" spans="1:8" ht="12" customHeight="1" x14ac:dyDescent="0.3">
      <c r="A896" s="13">
        <v>2895</v>
      </c>
      <c r="B896" s="14" t="s">
        <v>326</v>
      </c>
      <c r="C896" s="13" t="s">
        <v>402</v>
      </c>
      <c r="D896" s="13" t="s">
        <v>408</v>
      </c>
      <c r="E896" s="13" t="s">
        <v>411</v>
      </c>
      <c r="F896" s="15">
        <v>10054</v>
      </c>
      <c r="G896" s="15">
        <v>2912.5</v>
      </c>
      <c r="H896" s="15">
        <f>Table2[[#This Row],[Profit]]/Table2[[#This Row],[Sales]]</f>
        <v>0.28968569723493137</v>
      </c>
    </row>
    <row r="897" spans="1:8" ht="12" customHeight="1" x14ac:dyDescent="0.3">
      <c r="A897" s="13">
        <v>2896</v>
      </c>
      <c r="B897" s="14" t="s">
        <v>251</v>
      </c>
      <c r="C897" s="13" t="s">
        <v>401</v>
      </c>
      <c r="D897" s="13" t="s">
        <v>408</v>
      </c>
      <c r="E897" s="13" t="s">
        <v>411</v>
      </c>
      <c r="F897" s="15">
        <v>18624</v>
      </c>
      <c r="G897" s="15">
        <v>2348.85</v>
      </c>
      <c r="H897" s="15">
        <f>Table2[[#This Row],[Profit]]/Table2[[#This Row],[Sales]]</f>
        <v>0.12611952319587627</v>
      </c>
    </row>
    <row r="898" spans="1:8" ht="12" customHeight="1" x14ac:dyDescent="0.3">
      <c r="A898" s="13">
        <v>2897</v>
      </c>
      <c r="B898" s="14" t="s">
        <v>388</v>
      </c>
      <c r="C898" s="13" t="s">
        <v>402</v>
      </c>
      <c r="D898" s="13" t="s">
        <v>408</v>
      </c>
      <c r="E898" s="13" t="s">
        <v>413</v>
      </c>
      <c r="F898" s="15">
        <v>13029</v>
      </c>
      <c r="G898" s="15">
        <v>2212.85</v>
      </c>
      <c r="H898" s="15">
        <f>Table2[[#This Row],[Profit]]/Table2[[#This Row],[Sales]]</f>
        <v>0.1698403561286361</v>
      </c>
    </row>
    <row r="899" spans="1:8" ht="12" customHeight="1" x14ac:dyDescent="0.3">
      <c r="A899" s="13">
        <v>2898</v>
      </c>
      <c r="B899" s="14" t="s">
        <v>249</v>
      </c>
      <c r="C899" s="13" t="s">
        <v>401</v>
      </c>
      <c r="D899" s="13" t="s">
        <v>405</v>
      </c>
      <c r="E899" s="13" t="s">
        <v>411</v>
      </c>
      <c r="F899" s="15">
        <v>11301</v>
      </c>
      <c r="G899" s="15">
        <v>1858.2</v>
      </c>
      <c r="H899" s="15">
        <f>Table2[[#This Row],[Profit]]/Table2[[#This Row],[Sales]]</f>
        <v>0.16442792673214759</v>
      </c>
    </row>
    <row r="900" spans="1:8" ht="12" customHeight="1" x14ac:dyDescent="0.3">
      <c r="A900" s="13">
        <v>2899</v>
      </c>
      <c r="B900" s="14" t="s">
        <v>171</v>
      </c>
      <c r="C900" s="13" t="s">
        <v>402</v>
      </c>
      <c r="D900" s="13" t="s">
        <v>410</v>
      </c>
      <c r="E900" s="13" t="s">
        <v>412</v>
      </c>
      <c r="F900" s="15">
        <v>2521</v>
      </c>
      <c r="G900" s="15">
        <v>447.96</v>
      </c>
      <c r="H900" s="15">
        <f>Table2[[#This Row],[Profit]]/Table2[[#This Row],[Sales]]</f>
        <v>0.17769139230464101</v>
      </c>
    </row>
    <row r="901" spans="1:8" ht="12" customHeight="1" x14ac:dyDescent="0.3">
      <c r="A901" s="13">
        <v>2900</v>
      </c>
      <c r="B901" s="14" t="s">
        <v>389</v>
      </c>
      <c r="C901" s="13" t="s">
        <v>401</v>
      </c>
      <c r="D901" s="13" t="s">
        <v>408</v>
      </c>
      <c r="E901" s="13" t="s">
        <v>413</v>
      </c>
      <c r="F901" s="15">
        <v>6528</v>
      </c>
      <c r="G901" s="15">
        <v>1549.06</v>
      </c>
      <c r="H901" s="15">
        <f>Table2[[#This Row],[Profit]]/Table2[[#This Row],[Sales]]</f>
        <v>0.23729473039215684</v>
      </c>
    </row>
    <row r="902" spans="1:8" ht="12" customHeight="1" x14ac:dyDescent="0.3">
      <c r="A902" s="13">
        <v>2901</v>
      </c>
      <c r="B902" s="14" t="s">
        <v>311</v>
      </c>
      <c r="C902" s="13" t="s">
        <v>402</v>
      </c>
      <c r="D902" s="13" t="s">
        <v>409</v>
      </c>
      <c r="E902" s="13" t="s">
        <v>413</v>
      </c>
      <c r="F902" s="15">
        <v>3016</v>
      </c>
      <c r="G902" s="15">
        <v>303.04000000000002</v>
      </c>
      <c r="H902" s="15">
        <f>Table2[[#This Row],[Profit]]/Table2[[#This Row],[Sales]]</f>
        <v>0.10047745358090186</v>
      </c>
    </row>
    <row r="903" spans="1:8" ht="12" customHeight="1" x14ac:dyDescent="0.3">
      <c r="A903" s="13">
        <v>2902</v>
      </c>
      <c r="B903" s="14" t="s">
        <v>17</v>
      </c>
      <c r="C903" s="13" t="s">
        <v>403</v>
      </c>
      <c r="D903" s="13" t="s">
        <v>408</v>
      </c>
      <c r="E903" s="13" t="s">
        <v>413</v>
      </c>
      <c r="F903" s="15">
        <v>14364</v>
      </c>
      <c r="G903" s="15">
        <v>1673.55</v>
      </c>
      <c r="H903" s="15">
        <f>Table2[[#This Row],[Profit]]/Table2[[#This Row],[Sales]]</f>
        <v>0.11651002506265663</v>
      </c>
    </row>
    <row r="904" spans="1:8" ht="12" customHeight="1" x14ac:dyDescent="0.3">
      <c r="A904" s="13">
        <v>2903</v>
      </c>
      <c r="B904" s="14" t="s">
        <v>311</v>
      </c>
      <c r="C904" s="13" t="s">
        <v>404</v>
      </c>
      <c r="D904" s="13" t="s">
        <v>409</v>
      </c>
      <c r="E904" s="13" t="s">
        <v>413</v>
      </c>
      <c r="F904" s="15">
        <v>29683</v>
      </c>
      <c r="G904" s="15">
        <v>8087.43</v>
      </c>
      <c r="H904" s="15">
        <f>Table2[[#This Row],[Profit]]/Table2[[#This Row],[Sales]]</f>
        <v>0.27245999393592291</v>
      </c>
    </row>
    <row r="905" spans="1:8" ht="12" customHeight="1" x14ac:dyDescent="0.3">
      <c r="A905" s="13">
        <v>2904</v>
      </c>
      <c r="B905" s="14" t="s">
        <v>307</v>
      </c>
      <c r="C905" s="13" t="s">
        <v>403</v>
      </c>
      <c r="D905" s="13" t="s">
        <v>408</v>
      </c>
      <c r="E905" s="13" t="s">
        <v>413</v>
      </c>
      <c r="F905" s="15">
        <v>16265</v>
      </c>
      <c r="G905" s="15">
        <v>2150.19</v>
      </c>
      <c r="H905" s="15">
        <f>Table2[[#This Row],[Profit]]/Table2[[#This Row],[Sales]]</f>
        <v>0.13219735628650478</v>
      </c>
    </row>
    <row r="906" spans="1:8" ht="12" customHeight="1" x14ac:dyDescent="0.3">
      <c r="A906" s="13">
        <v>2905</v>
      </c>
      <c r="B906" s="14" t="s">
        <v>195</v>
      </c>
      <c r="C906" s="13" t="s">
        <v>403</v>
      </c>
      <c r="D906" s="13" t="s">
        <v>410</v>
      </c>
      <c r="E906" s="13" t="s">
        <v>411</v>
      </c>
      <c r="F906" s="15">
        <v>9968</v>
      </c>
      <c r="G906" s="15">
        <v>2280.16</v>
      </c>
      <c r="H906" s="15">
        <f>Table2[[#This Row],[Profit]]/Table2[[#This Row],[Sales]]</f>
        <v>0.22874799357945425</v>
      </c>
    </row>
    <row r="907" spans="1:8" ht="12" customHeight="1" x14ac:dyDescent="0.3">
      <c r="A907" s="13">
        <v>2906</v>
      </c>
      <c r="B907" s="14" t="s">
        <v>162</v>
      </c>
      <c r="C907" s="13" t="s">
        <v>404</v>
      </c>
      <c r="D907" s="13" t="s">
        <v>410</v>
      </c>
      <c r="E907" s="13" t="s">
        <v>411</v>
      </c>
      <c r="F907" s="15">
        <v>2224</v>
      </c>
      <c r="G907" s="15">
        <v>450.45</v>
      </c>
      <c r="H907" s="15">
        <f>Table2[[#This Row],[Profit]]/Table2[[#This Row],[Sales]]</f>
        <v>0.20254046762589928</v>
      </c>
    </row>
    <row r="908" spans="1:8" ht="12" customHeight="1" x14ac:dyDescent="0.3">
      <c r="A908" s="13">
        <v>2907</v>
      </c>
      <c r="B908" s="14" t="s">
        <v>246</v>
      </c>
      <c r="C908" s="13" t="s">
        <v>401</v>
      </c>
      <c r="D908" s="13" t="s">
        <v>407</v>
      </c>
      <c r="E908" s="13" t="s">
        <v>411</v>
      </c>
      <c r="F908" s="15">
        <v>5015</v>
      </c>
      <c r="G908" s="15">
        <v>1166.42</v>
      </c>
      <c r="H908" s="15">
        <f>Table2[[#This Row],[Profit]]/Table2[[#This Row],[Sales]]</f>
        <v>0.2325862412761715</v>
      </c>
    </row>
    <row r="909" spans="1:8" ht="12" customHeight="1" x14ac:dyDescent="0.3">
      <c r="A909" s="13">
        <v>2908</v>
      </c>
      <c r="B909" s="14" t="s">
        <v>33</v>
      </c>
      <c r="C909" s="13" t="s">
        <v>401</v>
      </c>
      <c r="D909" s="13" t="s">
        <v>405</v>
      </c>
      <c r="E909" s="13" t="s">
        <v>413</v>
      </c>
      <c r="F909" s="15">
        <v>10560</v>
      </c>
      <c r="G909" s="15">
        <v>2923.93</v>
      </c>
      <c r="H909" s="15">
        <f>Table2[[#This Row],[Profit]]/Table2[[#This Row],[Sales]]</f>
        <v>0.27688731060606059</v>
      </c>
    </row>
    <row r="910" spans="1:8" ht="12" customHeight="1" x14ac:dyDescent="0.3">
      <c r="A910" s="13">
        <v>2909</v>
      </c>
      <c r="B910" s="14" t="s">
        <v>37</v>
      </c>
      <c r="C910" s="13" t="s">
        <v>402</v>
      </c>
      <c r="D910" s="13" t="s">
        <v>407</v>
      </c>
      <c r="E910" s="13" t="s">
        <v>411</v>
      </c>
      <c r="F910" s="15">
        <v>21303</v>
      </c>
      <c r="G910" s="15">
        <v>4189.93</v>
      </c>
      <c r="H910" s="15">
        <f>Table2[[#This Row],[Profit]]/Table2[[#This Row],[Sales]]</f>
        <v>0.19668262686006668</v>
      </c>
    </row>
    <row r="911" spans="1:8" ht="12" customHeight="1" x14ac:dyDescent="0.3">
      <c r="A911" s="13">
        <v>2910</v>
      </c>
      <c r="B911" s="14" t="s">
        <v>276</v>
      </c>
      <c r="C911" s="13" t="s">
        <v>404</v>
      </c>
      <c r="D911" s="13" t="s">
        <v>410</v>
      </c>
      <c r="E911" s="13" t="s">
        <v>412</v>
      </c>
      <c r="F911" s="15">
        <v>3577</v>
      </c>
      <c r="G911" s="15">
        <v>726.68</v>
      </c>
      <c r="H911" s="15">
        <f>Table2[[#This Row],[Profit]]/Table2[[#This Row],[Sales]]</f>
        <v>0.2031534805703103</v>
      </c>
    </row>
    <row r="912" spans="1:8" ht="12" customHeight="1" x14ac:dyDescent="0.3">
      <c r="A912" s="13">
        <v>2911</v>
      </c>
      <c r="B912" s="14" t="s">
        <v>23</v>
      </c>
      <c r="C912" s="13" t="s">
        <v>401</v>
      </c>
      <c r="D912" s="13" t="s">
        <v>406</v>
      </c>
      <c r="E912" s="13" t="s">
        <v>411</v>
      </c>
      <c r="F912" s="15">
        <v>26819</v>
      </c>
      <c r="G912" s="15">
        <v>7379.3</v>
      </c>
      <c r="H912" s="15">
        <f>Table2[[#This Row],[Profit]]/Table2[[#This Row],[Sales]]</f>
        <v>0.27515194451694697</v>
      </c>
    </row>
    <row r="913" spans="1:8" ht="12" customHeight="1" x14ac:dyDescent="0.3">
      <c r="A913" s="13">
        <v>2912</v>
      </c>
      <c r="B913" s="14" t="s">
        <v>65</v>
      </c>
      <c r="C913" s="13" t="s">
        <v>402</v>
      </c>
      <c r="D913" s="13" t="s">
        <v>407</v>
      </c>
      <c r="E913" s="13" t="s">
        <v>413</v>
      </c>
      <c r="F913" s="15">
        <v>12144</v>
      </c>
      <c r="G913" s="15">
        <v>1042.81</v>
      </c>
      <c r="H913" s="15">
        <f>Table2[[#This Row],[Profit]]/Table2[[#This Row],[Sales]]</f>
        <v>8.5870388669301703E-2</v>
      </c>
    </row>
    <row r="914" spans="1:8" ht="12" customHeight="1" x14ac:dyDescent="0.3">
      <c r="A914" s="13">
        <v>2913</v>
      </c>
      <c r="B914" s="14" t="s">
        <v>264</v>
      </c>
      <c r="C914" s="13" t="s">
        <v>402</v>
      </c>
      <c r="D914" s="13" t="s">
        <v>406</v>
      </c>
      <c r="E914" s="13" t="s">
        <v>413</v>
      </c>
      <c r="F914" s="15">
        <v>21797</v>
      </c>
      <c r="G914" s="15">
        <v>3161.8</v>
      </c>
      <c r="H914" s="15">
        <f>Table2[[#This Row],[Profit]]/Table2[[#This Row],[Sales]]</f>
        <v>0.14505665917328073</v>
      </c>
    </row>
    <row r="915" spans="1:8" ht="12" customHeight="1" x14ac:dyDescent="0.3">
      <c r="A915" s="13">
        <v>2914</v>
      </c>
      <c r="B915" s="14" t="s">
        <v>179</v>
      </c>
      <c r="C915" s="13" t="s">
        <v>402</v>
      </c>
      <c r="D915" s="13" t="s">
        <v>406</v>
      </c>
      <c r="E915" s="13" t="s">
        <v>412</v>
      </c>
      <c r="F915" s="15">
        <v>10394</v>
      </c>
      <c r="G915" s="15">
        <v>1113.24</v>
      </c>
      <c r="H915" s="15">
        <f>Table2[[#This Row],[Profit]]/Table2[[#This Row],[Sales]]</f>
        <v>0.10710409851837599</v>
      </c>
    </row>
    <row r="916" spans="1:8" ht="12" customHeight="1" x14ac:dyDescent="0.3">
      <c r="A916" s="13">
        <v>2915</v>
      </c>
      <c r="B916" s="14" t="s">
        <v>78</v>
      </c>
      <c r="C916" s="13" t="s">
        <v>401</v>
      </c>
      <c r="D916" s="13" t="s">
        <v>406</v>
      </c>
      <c r="E916" s="13" t="s">
        <v>413</v>
      </c>
      <c r="F916" s="15">
        <v>13585</v>
      </c>
      <c r="G916" s="15">
        <v>2077.38</v>
      </c>
      <c r="H916" s="15">
        <f>Table2[[#This Row],[Profit]]/Table2[[#This Row],[Sales]]</f>
        <v>0.15291718807508281</v>
      </c>
    </row>
    <row r="917" spans="1:8" ht="12" customHeight="1" x14ac:dyDescent="0.3">
      <c r="A917" s="13">
        <v>2916</v>
      </c>
      <c r="B917" s="14" t="s">
        <v>381</v>
      </c>
      <c r="C917" s="13" t="s">
        <v>401</v>
      </c>
      <c r="D917" s="13" t="s">
        <v>409</v>
      </c>
      <c r="E917" s="13" t="s">
        <v>412</v>
      </c>
      <c r="F917" s="15">
        <v>20368</v>
      </c>
      <c r="G917" s="15">
        <v>2762.76</v>
      </c>
      <c r="H917" s="15">
        <f>Table2[[#This Row],[Profit]]/Table2[[#This Row],[Sales]]</f>
        <v>0.13564218381775334</v>
      </c>
    </row>
    <row r="918" spans="1:8" ht="12" customHeight="1" x14ac:dyDescent="0.3">
      <c r="A918" s="13">
        <v>2917</v>
      </c>
      <c r="B918" s="14" t="s">
        <v>380</v>
      </c>
      <c r="C918" s="13" t="s">
        <v>403</v>
      </c>
      <c r="D918" s="13" t="s">
        <v>410</v>
      </c>
      <c r="E918" s="13" t="s">
        <v>411</v>
      </c>
      <c r="F918" s="15">
        <v>23255</v>
      </c>
      <c r="G918" s="15">
        <v>6438.73</v>
      </c>
      <c r="H918" s="15">
        <f>Table2[[#This Row],[Profit]]/Table2[[#This Row],[Sales]]</f>
        <v>0.27687508062782196</v>
      </c>
    </row>
    <row r="919" spans="1:8" ht="12" customHeight="1" x14ac:dyDescent="0.3">
      <c r="A919" s="13">
        <v>2918</v>
      </c>
      <c r="B919" s="14" t="s">
        <v>56</v>
      </c>
      <c r="C919" s="13" t="s">
        <v>404</v>
      </c>
      <c r="D919" s="13" t="s">
        <v>405</v>
      </c>
      <c r="E919" s="13" t="s">
        <v>413</v>
      </c>
      <c r="F919" s="15">
        <v>20644</v>
      </c>
      <c r="G919" s="15">
        <v>6057.33</v>
      </c>
      <c r="H919" s="15">
        <f>Table2[[#This Row],[Profit]]/Table2[[#This Row],[Sales]]</f>
        <v>0.2934184266614997</v>
      </c>
    </row>
    <row r="920" spans="1:8" ht="12" customHeight="1" x14ac:dyDescent="0.3">
      <c r="A920" s="13">
        <v>2919</v>
      </c>
      <c r="B920" s="14" t="s">
        <v>187</v>
      </c>
      <c r="C920" s="13" t="s">
        <v>403</v>
      </c>
      <c r="D920" s="13" t="s">
        <v>406</v>
      </c>
      <c r="E920" s="13" t="s">
        <v>411</v>
      </c>
      <c r="F920" s="15">
        <v>16222</v>
      </c>
      <c r="G920" s="15">
        <v>2057.4899999999998</v>
      </c>
      <c r="H920" s="15">
        <f>Table2[[#This Row],[Profit]]/Table2[[#This Row],[Sales]]</f>
        <v>0.12683331278510662</v>
      </c>
    </row>
    <row r="921" spans="1:8" ht="12" customHeight="1" x14ac:dyDescent="0.3">
      <c r="A921" s="13">
        <v>2920</v>
      </c>
      <c r="B921" s="14" t="s">
        <v>124</v>
      </c>
      <c r="C921" s="13" t="s">
        <v>402</v>
      </c>
      <c r="D921" s="13" t="s">
        <v>405</v>
      </c>
      <c r="E921" s="13" t="s">
        <v>413</v>
      </c>
      <c r="F921" s="15">
        <v>26431</v>
      </c>
      <c r="G921" s="15">
        <v>2912.11</v>
      </c>
      <c r="H921" s="15">
        <f>Table2[[#This Row],[Profit]]/Table2[[#This Row],[Sales]]</f>
        <v>0.11017782149748402</v>
      </c>
    </row>
    <row r="922" spans="1:8" ht="12" customHeight="1" x14ac:dyDescent="0.3">
      <c r="A922" s="13">
        <v>2921</v>
      </c>
      <c r="B922" s="14" t="s">
        <v>130</v>
      </c>
      <c r="C922" s="13" t="s">
        <v>404</v>
      </c>
      <c r="D922" s="13" t="s">
        <v>410</v>
      </c>
      <c r="E922" s="13" t="s">
        <v>412</v>
      </c>
      <c r="F922" s="15">
        <v>22417</v>
      </c>
      <c r="G922" s="15">
        <v>5818.84</v>
      </c>
      <c r="H922" s="15">
        <f>Table2[[#This Row],[Profit]]/Table2[[#This Row],[Sales]]</f>
        <v>0.25957264575991434</v>
      </c>
    </row>
    <row r="923" spans="1:8" ht="12" customHeight="1" x14ac:dyDescent="0.3">
      <c r="A923" s="13">
        <v>2922</v>
      </c>
      <c r="B923" s="14" t="s">
        <v>313</v>
      </c>
      <c r="C923" s="13" t="s">
        <v>401</v>
      </c>
      <c r="D923" s="13" t="s">
        <v>407</v>
      </c>
      <c r="E923" s="13" t="s">
        <v>413</v>
      </c>
      <c r="F923" s="15">
        <v>28842</v>
      </c>
      <c r="G923" s="15">
        <v>6967.58</v>
      </c>
      <c r="H923" s="15">
        <f>Table2[[#This Row],[Profit]]/Table2[[#This Row],[Sales]]</f>
        <v>0.24157756050204562</v>
      </c>
    </row>
    <row r="924" spans="1:8" ht="12" customHeight="1" x14ac:dyDescent="0.3">
      <c r="A924" s="13">
        <v>2923</v>
      </c>
      <c r="B924" s="14" t="s">
        <v>132</v>
      </c>
      <c r="C924" s="13" t="s">
        <v>403</v>
      </c>
      <c r="D924" s="13" t="s">
        <v>405</v>
      </c>
      <c r="E924" s="13" t="s">
        <v>412</v>
      </c>
      <c r="F924" s="15">
        <v>21892</v>
      </c>
      <c r="G924" s="15">
        <v>3471.13</v>
      </c>
      <c r="H924" s="15">
        <f>Table2[[#This Row],[Profit]]/Table2[[#This Row],[Sales]]</f>
        <v>0.15855700712589074</v>
      </c>
    </row>
    <row r="925" spans="1:8" ht="12" customHeight="1" x14ac:dyDescent="0.3">
      <c r="A925" s="13">
        <v>2924</v>
      </c>
      <c r="B925" s="14" t="s">
        <v>109</v>
      </c>
      <c r="C925" s="13" t="s">
        <v>402</v>
      </c>
      <c r="D925" s="13" t="s">
        <v>406</v>
      </c>
      <c r="E925" s="13" t="s">
        <v>413</v>
      </c>
      <c r="F925" s="15">
        <v>9213</v>
      </c>
      <c r="G925" s="15">
        <v>1996.77</v>
      </c>
      <c r="H925" s="15">
        <f>Table2[[#This Row],[Profit]]/Table2[[#This Row],[Sales]]</f>
        <v>0.21673396287854119</v>
      </c>
    </row>
    <row r="926" spans="1:8" ht="12" customHeight="1" x14ac:dyDescent="0.3">
      <c r="A926" s="13">
        <v>2925</v>
      </c>
      <c r="B926" s="14" t="s">
        <v>231</v>
      </c>
      <c r="C926" s="13" t="s">
        <v>403</v>
      </c>
      <c r="D926" s="13" t="s">
        <v>408</v>
      </c>
      <c r="E926" s="13" t="s">
        <v>412</v>
      </c>
      <c r="F926" s="15">
        <v>8302</v>
      </c>
      <c r="G926" s="15">
        <v>1049.1300000000001</v>
      </c>
      <c r="H926" s="15">
        <f>Table2[[#This Row],[Profit]]/Table2[[#This Row],[Sales]]</f>
        <v>0.12637075403517226</v>
      </c>
    </row>
    <row r="927" spans="1:8" ht="12" customHeight="1" x14ac:dyDescent="0.3">
      <c r="A927" s="13">
        <v>2926</v>
      </c>
      <c r="B927" s="14" t="s">
        <v>372</v>
      </c>
      <c r="C927" s="13" t="s">
        <v>401</v>
      </c>
      <c r="D927" s="13" t="s">
        <v>409</v>
      </c>
      <c r="E927" s="13" t="s">
        <v>413</v>
      </c>
      <c r="F927" s="15">
        <v>23663</v>
      </c>
      <c r="G927" s="15">
        <v>3938.04</v>
      </c>
      <c r="H927" s="15">
        <f>Table2[[#This Row],[Profit]]/Table2[[#This Row],[Sales]]</f>
        <v>0.16642184000338081</v>
      </c>
    </row>
    <row r="928" spans="1:8" ht="12" customHeight="1" x14ac:dyDescent="0.3">
      <c r="A928" s="13">
        <v>2927</v>
      </c>
      <c r="B928" s="14" t="s">
        <v>351</v>
      </c>
      <c r="C928" s="13" t="s">
        <v>401</v>
      </c>
      <c r="D928" s="13" t="s">
        <v>410</v>
      </c>
      <c r="E928" s="13" t="s">
        <v>411</v>
      </c>
      <c r="F928" s="15">
        <v>26745</v>
      </c>
      <c r="G928" s="15">
        <v>6226.19</v>
      </c>
      <c r="H928" s="15">
        <f>Table2[[#This Row],[Profit]]/Table2[[#This Row],[Sales]]</f>
        <v>0.23279828005234621</v>
      </c>
    </row>
    <row r="929" spans="1:8" ht="12" customHeight="1" x14ac:dyDescent="0.3">
      <c r="A929" s="13">
        <v>2928</v>
      </c>
      <c r="B929" s="14" t="s">
        <v>10</v>
      </c>
      <c r="C929" s="13" t="s">
        <v>402</v>
      </c>
      <c r="D929" s="13" t="s">
        <v>410</v>
      </c>
      <c r="E929" s="13" t="s">
        <v>412</v>
      </c>
      <c r="F929" s="15">
        <v>5341</v>
      </c>
      <c r="G929" s="15">
        <v>800.12</v>
      </c>
      <c r="H929" s="15">
        <f>Table2[[#This Row],[Profit]]/Table2[[#This Row],[Sales]]</f>
        <v>0.14980715221868565</v>
      </c>
    </row>
    <row r="930" spans="1:8" ht="12" customHeight="1" x14ac:dyDescent="0.3">
      <c r="A930" s="13">
        <v>2929</v>
      </c>
      <c r="B930" s="14" t="s">
        <v>390</v>
      </c>
      <c r="C930" s="13" t="s">
        <v>403</v>
      </c>
      <c r="D930" s="13" t="s">
        <v>405</v>
      </c>
      <c r="E930" s="13" t="s">
        <v>413</v>
      </c>
      <c r="F930" s="15">
        <v>19559</v>
      </c>
      <c r="G930" s="15">
        <v>5855.77</v>
      </c>
      <c r="H930" s="15">
        <f>Table2[[#This Row],[Profit]]/Table2[[#This Row],[Sales]]</f>
        <v>0.2993900506160847</v>
      </c>
    </row>
    <row r="931" spans="1:8" ht="12" customHeight="1" x14ac:dyDescent="0.3">
      <c r="A931" s="13">
        <v>2930</v>
      </c>
      <c r="B931" s="14" t="s">
        <v>135</v>
      </c>
      <c r="C931" s="13" t="s">
        <v>401</v>
      </c>
      <c r="D931" s="13" t="s">
        <v>405</v>
      </c>
      <c r="E931" s="13" t="s">
        <v>411</v>
      </c>
      <c r="F931" s="15">
        <v>21521</v>
      </c>
      <c r="G931" s="15">
        <v>3051.24</v>
      </c>
      <c r="H931" s="15">
        <f>Table2[[#This Row],[Profit]]/Table2[[#This Row],[Sales]]</f>
        <v>0.14177965707913201</v>
      </c>
    </row>
    <row r="932" spans="1:8" ht="12" customHeight="1" x14ac:dyDescent="0.3">
      <c r="A932" s="13">
        <v>2931</v>
      </c>
      <c r="B932" s="14" t="s">
        <v>104</v>
      </c>
      <c r="C932" s="13" t="s">
        <v>403</v>
      </c>
      <c r="D932" s="13" t="s">
        <v>409</v>
      </c>
      <c r="E932" s="13" t="s">
        <v>411</v>
      </c>
      <c r="F932" s="15">
        <v>8259</v>
      </c>
      <c r="G932" s="15">
        <v>1017.28</v>
      </c>
      <c r="H932" s="15">
        <f>Table2[[#This Row],[Profit]]/Table2[[#This Row],[Sales]]</f>
        <v>0.12317229688824312</v>
      </c>
    </row>
    <row r="933" spans="1:8" ht="12" customHeight="1" x14ac:dyDescent="0.3">
      <c r="A933" s="13">
        <v>2932</v>
      </c>
      <c r="B933" s="14" t="s">
        <v>24</v>
      </c>
      <c r="C933" s="13" t="s">
        <v>401</v>
      </c>
      <c r="D933" s="13" t="s">
        <v>406</v>
      </c>
      <c r="E933" s="13" t="s">
        <v>412</v>
      </c>
      <c r="F933" s="15">
        <v>12215</v>
      </c>
      <c r="G933" s="15">
        <v>2971.24</v>
      </c>
      <c r="H933" s="15">
        <f>Table2[[#This Row],[Profit]]/Table2[[#This Row],[Sales]]</f>
        <v>0.2432451903397462</v>
      </c>
    </row>
    <row r="934" spans="1:8" ht="12" customHeight="1" x14ac:dyDescent="0.3">
      <c r="A934" s="13">
        <v>2933</v>
      </c>
      <c r="B934" s="14" t="s">
        <v>385</v>
      </c>
      <c r="C934" s="13" t="s">
        <v>404</v>
      </c>
      <c r="D934" s="13" t="s">
        <v>409</v>
      </c>
      <c r="E934" s="13" t="s">
        <v>411</v>
      </c>
      <c r="F934" s="15">
        <v>25659</v>
      </c>
      <c r="G934" s="15">
        <v>4769.5</v>
      </c>
      <c r="H934" s="15">
        <f>Table2[[#This Row],[Profit]]/Table2[[#This Row],[Sales]]</f>
        <v>0.18588019798121516</v>
      </c>
    </row>
    <row r="935" spans="1:8" ht="12" customHeight="1" x14ac:dyDescent="0.3">
      <c r="A935" s="13">
        <v>2934</v>
      </c>
      <c r="B935" s="14" t="s">
        <v>216</v>
      </c>
      <c r="C935" s="13" t="s">
        <v>403</v>
      </c>
      <c r="D935" s="13" t="s">
        <v>408</v>
      </c>
      <c r="E935" s="13" t="s">
        <v>413</v>
      </c>
      <c r="F935" s="15">
        <v>29770</v>
      </c>
      <c r="G935" s="15">
        <v>6586.99</v>
      </c>
      <c r="H935" s="15">
        <f>Table2[[#This Row],[Profit]]/Table2[[#This Row],[Sales]]</f>
        <v>0.22126268055089016</v>
      </c>
    </row>
    <row r="936" spans="1:8" ht="12" customHeight="1" x14ac:dyDescent="0.3">
      <c r="A936" s="13">
        <v>2935</v>
      </c>
      <c r="B936" s="14" t="s">
        <v>391</v>
      </c>
      <c r="C936" s="13" t="s">
        <v>401</v>
      </c>
      <c r="D936" s="13" t="s">
        <v>407</v>
      </c>
      <c r="E936" s="13" t="s">
        <v>412</v>
      </c>
      <c r="F936" s="15">
        <v>17031</v>
      </c>
      <c r="G936" s="15">
        <v>3268.17</v>
      </c>
      <c r="H936" s="15">
        <f>Table2[[#This Row],[Profit]]/Table2[[#This Row],[Sales]]</f>
        <v>0.19189536727144618</v>
      </c>
    </row>
    <row r="937" spans="1:8" ht="12" customHeight="1" x14ac:dyDescent="0.3">
      <c r="A937" s="13">
        <v>2936</v>
      </c>
      <c r="B937" s="14" t="s">
        <v>350</v>
      </c>
      <c r="C937" s="13" t="s">
        <v>403</v>
      </c>
      <c r="D937" s="13" t="s">
        <v>408</v>
      </c>
      <c r="E937" s="13" t="s">
        <v>412</v>
      </c>
      <c r="F937" s="15">
        <v>23138</v>
      </c>
      <c r="G937" s="15">
        <v>5208.3900000000003</v>
      </c>
      <c r="H937" s="15">
        <f>Table2[[#This Row],[Profit]]/Table2[[#This Row],[Sales]]</f>
        <v>0.22510113233641629</v>
      </c>
    </row>
    <row r="938" spans="1:8" ht="12" customHeight="1" x14ac:dyDescent="0.3">
      <c r="A938" s="13">
        <v>2937</v>
      </c>
      <c r="B938" s="14" t="s">
        <v>392</v>
      </c>
      <c r="C938" s="13" t="s">
        <v>401</v>
      </c>
      <c r="D938" s="13" t="s">
        <v>405</v>
      </c>
      <c r="E938" s="13" t="s">
        <v>411</v>
      </c>
      <c r="F938" s="15">
        <v>22734</v>
      </c>
      <c r="G938" s="15">
        <v>2565.8000000000002</v>
      </c>
      <c r="H938" s="15">
        <f>Table2[[#This Row],[Profit]]/Table2[[#This Row],[Sales]]</f>
        <v>0.11286179290929886</v>
      </c>
    </row>
    <row r="939" spans="1:8" ht="12" customHeight="1" x14ac:dyDescent="0.3">
      <c r="A939" s="13">
        <v>2938</v>
      </c>
      <c r="B939" s="14" t="s">
        <v>139</v>
      </c>
      <c r="C939" s="13" t="s">
        <v>403</v>
      </c>
      <c r="D939" s="13" t="s">
        <v>409</v>
      </c>
      <c r="E939" s="13" t="s">
        <v>413</v>
      </c>
      <c r="F939" s="15">
        <v>15071</v>
      </c>
      <c r="G939" s="15">
        <v>1680.85</v>
      </c>
      <c r="H939" s="15">
        <f>Table2[[#This Row],[Profit]]/Table2[[#This Row],[Sales]]</f>
        <v>0.11152876385110476</v>
      </c>
    </row>
    <row r="940" spans="1:8" ht="12" customHeight="1" x14ac:dyDescent="0.3">
      <c r="A940" s="13">
        <v>2939</v>
      </c>
      <c r="B940" s="14" t="s">
        <v>21</v>
      </c>
      <c r="C940" s="13" t="s">
        <v>403</v>
      </c>
      <c r="D940" s="13" t="s">
        <v>407</v>
      </c>
      <c r="E940" s="13" t="s">
        <v>413</v>
      </c>
      <c r="F940" s="15">
        <v>20953</v>
      </c>
      <c r="G940" s="15">
        <v>5254.79</v>
      </c>
      <c r="H940" s="15">
        <f>Table2[[#This Row],[Profit]]/Table2[[#This Row],[Sales]]</f>
        <v>0.25078938576814774</v>
      </c>
    </row>
    <row r="941" spans="1:8" ht="12" customHeight="1" x14ac:dyDescent="0.3">
      <c r="A941" s="13">
        <v>2940</v>
      </c>
      <c r="B941" s="14" t="s">
        <v>348</v>
      </c>
      <c r="C941" s="13" t="s">
        <v>401</v>
      </c>
      <c r="D941" s="13" t="s">
        <v>408</v>
      </c>
      <c r="E941" s="13" t="s">
        <v>411</v>
      </c>
      <c r="F941" s="15">
        <v>27648</v>
      </c>
      <c r="G941" s="15">
        <v>7561.2</v>
      </c>
      <c r="H941" s="15">
        <f>Table2[[#This Row],[Profit]]/Table2[[#This Row],[Sales]]</f>
        <v>0.27348090277777776</v>
      </c>
    </row>
    <row r="942" spans="1:8" ht="12" customHeight="1" x14ac:dyDescent="0.3">
      <c r="A942" s="13">
        <v>2941</v>
      </c>
      <c r="B942" s="14" t="s">
        <v>70</v>
      </c>
      <c r="C942" s="13" t="s">
        <v>402</v>
      </c>
      <c r="D942" s="13" t="s">
        <v>408</v>
      </c>
      <c r="E942" s="13" t="s">
        <v>411</v>
      </c>
      <c r="F942" s="15">
        <v>4464</v>
      </c>
      <c r="G942" s="15">
        <v>1317.26</v>
      </c>
      <c r="H942" s="15">
        <f>Table2[[#This Row],[Profit]]/Table2[[#This Row],[Sales]]</f>
        <v>0.29508512544802867</v>
      </c>
    </row>
    <row r="943" spans="1:8" ht="12" customHeight="1" x14ac:dyDescent="0.3">
      <c r="A943" s="13">
        <v>2942</v>
      </c>
      <c r="B943" s="14" t="s">
        <v>110</v>
      </c>
      <c r="C943" s="13" t="s">
        <v>402</v>
      </c>
      <c r="D943" s="13" t="s">
        <v>409</v>
      </c>
      <c r="E943" s="13" t="s">
        <v>412</v>
      </c>
      <c r="F943" s="15">
        <v>9954</v>
      </c>
      <c r="G943" s="15">
        <v>2453.11</v>
      </c>
      <c r="H943" s="15">
        <f>Table2[[#This Row],[Profit]]/Table2[[#This Row],[Sales]]</f>
        <v>0.24644464536869601</v>
      </c>
    </row>
    <row r="944" spans="1:8" ht="12" customHeight="1" x14ac:dyDescent="0.3">
      <c r="A944" s="13">
        <v>2943</v>
      </c>
      <c r="B944" s="14" t="s">
        <v>67</v>
      </c>
      <c r="C944" s="13" t="s">
        <v>401</v>
      </c>
      <c r="D944" s="13" t="s">
        <v>406</v>
      </c>
      <c r="E944" s="13" t="s">
        <v>413</v>
      </c>
      <c r="F944" s="15">
        <v>9872</v>
      </c>
      <c r="G944" s="15">
        <v>2920.01</v>
      </c>
      <c r="H944" s="15">
        <f>Table2[[#This Row],[Profit]]/Table2[[#This Row],[Sales]]</f>
        <v>0.29578707455429498</v>
      </c>
    </row>
    <row r="945" spans="1:8" ht="12" customHeight="1" x14ac:dyDescent="0.3">
      <c r="A945" s="13">
        <v>2944</v>
      </c>
      <c r="B945" s="14" t="s">
        <v>210</v>
      </c>
      <c r="C945" s="13" t="s">
        <v>401</v>
      </c>
      <c r="D945" s="13" t="s">
        <v>407</v>
      </c>
      <c r="E945" s="13" t="s">
        <v>411</v>
      </c>
      <c r="F945" s="15">
        <v>29067</v>
      </c>
      <c r="G945" s="15">
        <v>8184.62</v>
      </c>
      <c r="H945" s="15">
        <f>Table2[[#This Row],[Profit]]/Table2[[#This Row],[Sales]]</f>
        <v>0.28157773420029586</v>
      </c>
    </row>
    <row r="946" spans="1:8" ht="12" customHeight="1" x14ac:dyDescent="0.3">
      <c r="A946" s="13">
        <v>2945</v>
      </c>
      <c r="B946" s="14" t="s">
        <v>351</v>
      </c>
      <c r="C946" s="13" t="s">
        <v>401</v>
      </c>
      <c r="D946" s="13" t="s">
        <v>405</v>
      </c>
      <c r="E946" s="13" t="s">
        <v>412</v>
      </c>
      <c r="F946" s="15">
        <v>24623</v>
      </c>
      <c r="G946" s="15">
        <v>4843.54</v>
      </c>
      <c r="H946" s="15">
        <f>Table2[[#This Row],[Profit]]/Table2[[#This Row],[Sales]]</f>
        <v>0.1967079559761199</v>
      </c>
    </row>
    <row r="947" spans="1:8" ht="12" customHeight="1" x14ac:dyDescent="0.3">
      <c r="A947" s="13">
        <v>2946</v>
      </c>
      <c r="B947" s="14" t="s">
        <v>108</v>
      </c>
      <c r="C947" s="13" t="s">
        <v>401</v>
      </c>
      <c r="D947" s="13" t="s">
        <v>408</v>
      </c>
      <c r="E947" s="13" t="s">
        <v>412</v>
      </c>
      <c r="F947" s="15">
        <v>22298</v>
      </c>
      <c r="G947" s="15">
        <v>5656.59</v>
      </c>
      <c r="H947" s="15">
        <f>Table2[[#This Row],[Profit]]/Table2[[#This Row],[Sales]]</f>
        <v>0.25368149609830476</v>
      </c>
    </row>
    <row r="948" spans="1:8" ht="12" customHeight="1" x14ac:dyDescent="0.3">
      <c r="A948" s="13">
        <v>2947</v>
      </c>
      <c r="B948" s="14" t="s">
        <v>76</v>
      </c>
      <c r="C948" s="13" t="s">
        <v>402</v>
      </c>
      <c r="D948" s="13" t="s">
        <v>406</v>
      </c>
      <c r="E948" s="13" t="s">
        <v>411</v>
      </c>
      <c r="F948" s="15">
        <v>19452</v>
      </c>
      <c r="G948" s="15">
        <v>5028.5200000000004</v>
      </c>
      <c r="H948" s="15">
        <f>Table2[[#This Row],[Profit]]/Table2[[#This Row],[Sales]]</f>
        <v>0.25850915073000208</v>
      </c>
    </row>
    <row r="949" spans="1:8" ht="12" customHeight="1" x14ac:dyDescent="0.3">
      <c r="A949" s="13">
        <v>2948</v>
      </c>
      <c r="B949" s="14" t="s">
        <v>51</v>
      </c>
      <c r="C949" s="13" t="s">
        <v>401</v>
      </c>
      <c r="D949" s="13" t="s">
        <v>408</v>
      </c>
      <c r="E949" s="13" t="s">
        <v>411</v>
      </c>
      <c r="F949" s="15">
        <v>20933</v>
      </c>
      <c r="G949" s="15">
        <v>1878.98</v>
      </c>
      <c r="H949" s="15">
        <f>Table2[[#This Row],[Profit]]/Table2[[#This Row],[Sales]]</f>
        <v>8.9761620407968284E-2</v>
      </c>
    </row>
    <row r="950" spans="1:8" ht="12" customHeight="1" x14ac:dyDescent="0.3">
      <c r="A950" s="13">
        <v>2949</v>
      </c>
      <c r="B950" s="14" t="s">
        <v>185</v>
      </c>
      <c r="C950" s="13" t="s">
        <v>404</v>
      </c>
      <c r="D950" s="13" t="s">
        <v>408</v>
      </c>
      <c r="E950" s="13" t="s">
        <v>412</v>
      </c>
      <c r="F950" s="15">
        <v>18233</v>
      </c>
      <c r="G950" s="15">
        <v>5028.74</v>
      </c>
      <c r="H950" s="15">
        <f>Table2[[#This Row],[Profit]]/Table2[[#This Row],[Sales]]</f>
        <v>0.27580431086491525</v>
      </c>
    </row>
    <row r="951" spans="1:8" ht="12" customHeight="1" x14ac:dyDescent="0.3">
      <c r="A951" s="13">
        <v>2950</v>
      </c>
      <c r="B951" s="14" t="s">
        <v>96</v>
      </c>
      <c r="C951" s="13" t="s">
        <v>402</v>
      </c>
      <c r="D951" s="13" t="s">
        <v>409</v>
      </c>
      <c r="E951" s="13" t="s">
        <v>413</v>
      </c>
      <c r="F951" s="15">
        <v>24078</v>
      </c>
      <c r="G951" s="15">
        <v>4083.54</v>
      </c>
      <c r="H951" s="15">
        <f>Table2[[#This Row],[Profit]]/Table2[[#This Row],[Sales]]</f>
        <v>0.16959631198604536</v>
      </c>
    </row>
    <row r="952" spans="1:8" ht="12" customHeight="1" x14ac:dyDescent="0.3">
      <c r="A952" s="13">
        <v>2951</v>
      </c>
      <c r="B952" s="14" t="s">
        <v>303</v>
      </c>
      <c r="C952" s="13" t="s">
        <v>402</v>
      </c>
      <c r="D952" s="13" t="s">
        <v>406</v>
      </c>
      <c r="E952" s="13" t="s">
        <v>411</v>
      </c>
      <c r="F952" s="15">
        <v>26080</v>
      </c>
      <c r="G952" s="15">
        <v>5050.54</v>
      </c>
      <c r="H952" s="15">
        <f>Table2[[#This Row],[Profit]]/Table2[[#This Row],[Sales]]</f>
        <v>0.19365567484662577</v>
      </c>
    </row>
    <row r="953" spans="1:8" ht="12" customHeight="1" x14ac:dyDescent="0.3">
      <c r="A953" s="13">
        <v>2952</v>
      </c>
      <c r="B953" s="14" t="s">
        <v>393</v>
      </c>
      <c r="C953" s="13" t="s">
        <v>402</v>
      </c>
      <c r="D953" s="13" t="s">
        <v>406</v>
      </c>
      <c r="E953" s="13" t="s">
        <v>413</v>
      </c>
      <c r="F953" s="15">
        <v>19883</v>
      </c>
      <c r="G953" s="15">
        <v>2051.58</v>
      </c>
      <c r="H953" s="15">
        <f>Table2[[#This Row],[Profit]]/Table2[[#This Row],[Sales]]</f>
        <v>0.10318261831715536</v>
      </c>
    </row>
    <row r="954" spans="1:8" ht="12" customHeight="1" x14ac:dyDescent="0.3">
      <c r="A954" s="13">
        <v>2953</v>
      </c>
      <c r="B954" s="14" t="s">
        <v>394</v>
      </c>
      <c r="C954" s="13" t="s">
        <v>403</v>
      </c>
      <c r="D954" s="13" t="s">
        <v>405</v>
      </c>
      <c r="E954" s="13" t="s">
        <v>411</v>
      </c>
      <c r="F954" s="15">
        <v>27286</v>
      </c>
      <c r="G954" s="15">
        <v>6208.06</v>
      </c>
      <c r="H954" s="15">
        <f>Table2[[#This Row],[Profit]]/Table2[[#This Row],[Sales]]</f>
        <v>0.22751814117129665</v>
      </c>
    </row>
    <row r="955" spans="1:8" ht="12" customHeight="1" x14ac:dyDescent="0.3">
      <c r="A955" s="13">
        <v>2954</v>
      </c>
      <c r="B955" s="14" t="s">
        <v>307</v>
      </c>
      <c r="C955" s="13" t="s">
        <v>401</v>
      </c>
      <c r="D955" s="13" t="s">
        <v>407</v>
      </c>
      <c r="E955" s="13" t="s">
        <v>413</v>
      </c>
      <c r="F955" s="15">
        <v>26562</v>
      </c>
      <c r="G955" s="15">
        <v>4564.78</v>
      </c>
      <c r="H955" s="15">
        <f>Table2[[#This Row],[Profit]]/Table2[[#This Row],[Sales]]</f>
        <v>0.17185377607107896</v>
      </c>
    </row>
    <row r="956" spans="1:8" ht="12" customHeight="1" x14ac:dyDescent="0.3">
      <c r="A956" s="13">
        <v>2955</v>
      </c>
      <c r="B956" s="14" t="s">
        <v>381</v>
      </c>
      <c r="C956" s="13" t="s">
        <v>404</v>
      </c>
      <c r="D956" s="13" t="s">
        <v>405</v>
      </c>
      <c r="E956" s="13" t="s">
        <v>411</v>
      </c>
      <c r="F956" s="15">
        <v>7726</v>
      </c>
      <c r="G956" s="15">
        <v>1837.85</v>
      </c>
      <c r="H956" s="15">
        <f>Table2[[#This Row],[Profit]]/Table2[[#This Row],[Sales]]</f>
        <v>0.2378785917680559</v>
      </c>
    </row>
    <row r="957" spans="1:8" ht="12" customHeight="1" x14ac:dyDescent="0.3">
      <c r="A957" s="13">
        <v>2956</v>
      </c>
      <c r="B957" s="14" t="s">
        <v>386</v>
      </c>
      <c r="C957" s="13" t="s">
        <v>404</v>
      </c>
      <c r="D957" s="13" t="s">
        <v>410</v>
      </c>
      <c r="E957" s="13" t="s">
        <v>411</v>
      </c>
      <c r="F957" s="15">
        <v>17029</v>
      </c>
      <c r="G957" s="15">
        <v>1767.58</v>
      </c>
      <c r="H957" s="15">
        <f>Table2[[#This Row],[Profit]]/Table2[[#This Row],[Sales]]</f>
        <v>0.10379822655470081</v>
      </c>
    </row>
    <row r="958" spans="1:8" ht="12" customHeight="1" x14ac:dyDescent="0.3">
      <c r="A958" s="13">
        <v>2957</v>
      </c>
      <c r="B958" s="14" t="s">
        <v>105</v>
      </c>
      <c r="C958" s="13" t="s">
        <v>404</v>
      </c>
      <c r="D958" s="13" t="s">
        <v>408</v>
      </c>
      <c r="E958" s="13" t="s">
        <v>413</v>
      </c>
      <c r="F958" s="15">
        <v>17116</v>
      </c>
      <c r="G958" s="15">
        <v>4746.1099999999997</v>
      </c>
      <c r="H958" s="15">
        <f>Table2[[#This Row],[Profit]]/Table2[[#This Row],[Sales]]</f>
        <v>0.27729083898107032</v>
      </c>
    </row>
    <row r="959" spans="1:8" ht="12" customHeight="1" x14ac:dyDescent="0.3">
      <c r="A959" s="13">
        <v>2958</v>
      </c>
      <c r="B959" s="14" t="s">
        <v>188</v>
      </c>
      <c r="C959" s="13" t="s">
        <v>401</v>
      </c>
      <c r="D959" s="13" t="s">
        <v>406</v>
      </c>
      <c r="E959" s="13" t="s">
        <v>413</v>
      </c>
      <c r="F959" s="15">
        <v>8033</v>
      </c>
      <c r="G959" s="15">
        <v>1685.74</v>
      </c>
      <c r="H959" s="15">
        <f>Table2[[#This Row],[Profit]]/Table2[[#This Row],[Sales]]</f>
        <v>0.20985186107307358</v>
      </c>
    </row>
    <row r="960" spans="1:8" ht="12" customHeight="1" x14ac:dyDescent="0.3">
      <c r="A960" s="13">
        <v>2959</v>
      </c>
      <c r="B960" s="14" t="s">
        <v>395</v>
      </c>
      <c r="C960" s="13" t="s">
        <v>403</v>
      </c>
      <c r="D960" s="13" t="s">
        <v>408</v>
      </c>
      <c r="E960" s="13" t="s">
        <v>413</v>
      </c>
      <c r="F960" s="15">
        <v>19731</v>
      </c>
      <c r="G960" s="15">
        <v>5321.27</v>
      </c>
      <c r="H960" s="15">
        <f>Table2[[#This Row],[Profit]]/Table2[[#This Row],[Sales]]</f>
        <v>0.26969084182251279</v>
      </c>
    </row>
    <row r="961" spans="1:8" ht="12" customHeight="1" x14ac:dyDescent="0.3">
      <c r="A961" s="13">
        <v>2960</v>
      </c>
      <c r="B961" s="14" t="s">
        <v>236</v>
      </c>
      <c r="C961" s="13" t="s">
        <v>403</v>
      </c>
      <c r="D961" s="13" t="s">
        <v>409</v>
      </c>
      <c r="E961" s="13" t="s">
        <v>412</v>
      </c>
      <c r="F961" s="15">
        <v>28767</v>
      </c>
      <c r="G961" s="15">
        <v>4747.12</v>
      </c>
      <c r="H961" s="15">
        <f>Table2[[#This Row],[Profit]]/Table2[[#This Row],[Sales]]</f>
        <v>0.16501964056036431</v>
      </c>
    </row>
    <row r="962" spans="1:8" ht="12" customHeight="1" x14ac:dyDescent="0.3">
      <c r="A962" s="13">
        <v>2961</v>
      </c>
      <c r="B962" s="14" t="s">
        <v>253</v>
      </c>
      <c r="C962" s="13" t="s">
        <v>404</v>
      </c>
      <c r="D962" s="13" t="s">
        <v>407</v>
      </c>
      <c r="E962" s="13" t="s">
        <v>412</v>
      </c>
      <c r="F962" s="15">
        <v>27846</v>
      </c>
      <c r="G962" s="15">
        <v>4481.93</v>
      </c>
      <c r="H962" s="15">
        <f>Table2[[#This Row],[Profit]]/Table2[[#This Row],[Sales]]</f>
        <v>0.16095417654241184</v>
      </c>
    </row>
    <row r="963" spans="1:8" ht="12" customHeight="1" x14ac:dyDescent="0.3">
      <c r="A963" s="13">
        <v>2962</v>
      </c>
      <c r="B963" s="14" t="s">
        <v>60</v>
      </c>
      <c r="C963" s="13" t="s">
        <v>403</v>
      </c>
      <c r="D963" s="13" t="s">
        <v>405</v>
      </c>
      <c r="E963" s="13" t="s">
        <v>411</v>
      </c>
      <c r="F963" s="15">
        <v>24451</v>
      </c>
      <c r="G963" s="15">
        <v>2943.29</v>
      </c>
      <c r="H963" s="15">
        <f>Table2[[#This Row],[Profit]]/Table2[[#This Row],[Sales]]</f>
        <v>0.12037503578585743</v>
      </c>
    </row>
    <row r="964" spans="1:8" ht="12" customHeight="1" x14ac:dyDescent="0.3">
      <c r="A964" s="13">
        <v>2963</v>
      </c>
      <c r="B964" s="14" t="s">
        <v>181</v>
      </c>
      <c r="C964" s="13" t="s">
        <v>402</v>
      </c>
      <c r="D964" s="13" t="s">
        <v>408</v>
      </c>
      <c r="E964" s="13" t="s">
        <v>413</v>
      </c>
      <c r="F964" s="15">
        <v>10516</v>
      </c>
      <c r="G964" s="15">
        <v>2344.29</v>
      </c>
      <c r="H964" s="15">
        <f>Table2[[#This Row],[Profit]]/Table2[[#This Row],[Sales]]</f>
        <v>0.22292601749714719</v>
      </c>
    </row>
    <row r="965" spans="1:8" ht="12" customHeight="1" x14ac:dyDescent="0.3">
      <c r="A965" s="13">
        <v>2964</v>
      </c>
      <c r="B965" s="14" t="s">
        <v>40</v>
      </c>
      <c r="C965" s="13" t="s">
        <v>403</v>
      </c>
      <c r="D965" s="13" t="s">
        <v>405</v>
      </c>
      <c r="E965" s="13" t="s">
        <v>412</v>
      </c>
      <c r="F965" s="15">
        <v>19682</v>
      </c>
      <c r="G965" s="15">
        <v>5782.15</v>
      </c>
      <c r="H965" s="15">
        <f>Table2[[#This Row],[Profit]]/Table2[[#This Row],[Sales]]</f>
        <v>0.29377857941266128</v>
      </c>
    </row>
    <row r="966" spans="1:8" ht="12" customHeight="1" x14ac:dyDescent="0.3">
      <c r="A966" s="13">
        <v>2965</v>
      </c>
      <c r="B966" s="14" t="s">
        <v>67</v>
      </c>
      <c r="C966" s="13" t="s">
        <v>404</v>
      </c>
      <c r="D966" s="13" t="s">
        <v>410</v>
      </c>
      <c r="E966" s="13" t="s">
        <v>412</v>
      </c>
      <c r="F966" s="15">
        <v>2044</v>
      </c>
      <c r="G966" s="15">
        <v>201.71</v>
      </c>
      <c r="H966" s="15">
        <f>Table2[[#This Row],[Profit]]/Table2[[#This Row],[Sales]]</f>
        <v>9.8683953033268101E-2</v>
      </c>
    </row>
    <row r="967" spans="1:8" ht="12" customHeight="1" x14ac:dyDescent="0.3">
      <c r="A967" s="13">
        <v>2966</v>
      </c>
      <c r="B967" s="14" t="s">
        <v>331</v>
      </c>
      <c r="C967" s="13" t="s">
        <v>403</v>
      </c>
      <c r="D967" s="13" t="s">
        <v>407</v>
      </c>
      <c r="E967" s="13" t="s">
        <v>411</v>
      </c>
      <c r="F967" s="15">
        <v>7530</v>
      </c>
      <c r="G967" s="15">
        <v>1013.85</v>
      </c>
      <c r="H967" s="15">
        <f>Table2[[#This Row],[Profit]]/Table2[[#This Row],[Sales]]</f>
        <v>0.13464143426294822</v>
      </c>
    </row>
    <row r="968" spans="1:8" ht="12" customHeight="1" x14ac:dyDescent="0.3">
      <c r="A968" s="13">
        <v>2967</v>
      </c>
      <c r="B968" s="14" t="s">
        <v>331</v>
      </c>
      <c r="C968" s="13" t="s">
        <v>401</v>
      </c>
      <c r="D968" s="13" t="s">
        <v>409</v>
      </c>
      <c r="E968" s="13" t="s">
        <v>413</v>
      </c>
      <c r="F968" s="15">
        <v>21004</v>
      </c>
      <c r="G968" s="15">
        <v>4309.42</v>
      </c>
      <c r="H968" s="15">
        <f>Table2[[#This Row],[Profit]]/Table2[[#This Row],[Sales]]</f>
        <v>0.2051713959245858</v>
      </c>
    </row>
    <row r="969" spans="1:8" ht="12" customHeight="1" x14ac:dyDescent="0.3">
      <c r="A969" s="13">
        <v>2968</v>
      </c>
      <c r="B969" s="14" t="s">
        <v>169</v>
      </c>
      <c r="C969" s="13" t="s">
        <v>403</v>
      </c>
      <c r="D969" s="13" t="s">
        <v>410</v>
      </c>
      <c r="E969" s="13" t="s">
        <v>413</v>
      </c>
      <c r="F969" s="15">
        <v>15269</v>
      </c>
      <c r="G969" s="15">
        <v>4162.57</v>
      </c>
      <c r="H969" s="15">
        <f>Table2[[#This Row],[Profit]]/Table2[[#This Row],[Sales]]</f>
        <v>0.27261575741698862</v>
      </c>
    </row>
    <row r="970" spans="1:8" ht="12" customHeight="1" x14ac:dyDescent="0.3">
      <c r="A970" s="13">
        <v>2969</v>
      </c>
      <c r="B970" s="14" t="s">
        <v>233</v>
      </c>
      <c r="C970" s="13" t="s">
        <v>402</v>
      </c>
      <c r="D970" s="13" t="s">
        <v>405</v>
      </c>
      <c r="E970" s="13" t="s">
        <v>412</v>
      </c>
      <c r="F970" s="15">
        <v>7987</v>
      </c>
      <c r="G970" s="15">
        <v>820.84</v>
      </c>
      <c r="H970" s="15">
        <f>Table2[[#This Row],[Profit]]/Table2[[#This Row],[Sales]]</f>
        <v>0.1027720045073244</v>
      </c>
    </row>
    <row r="971" spans="1:8" ht="12" customHeight="1" x14ac:dyDescent="0.3">
      <c r="A971" s="13">
        <v>2970</v>
      </c>
      <c r="B971" s="14" t="s">
        <v>180</v>
      </c>
      <c r="C971" s="13" t="s">
        <v>401</v>
      </c>
      <c r="D971" s="13" t="s">
        <v>409</v>
      </c>
      <c r="E971" s="13" t="s">
        <v>412</v>
      </c>
      <c r="F971" s="15">
        <v>16266</v>
      </c>
      <c r="G971" s="15">
        <v>3715.57</v>
      </c>
      <c r="H971" s="15">
        <f>Table2[[#This Row],[Profit]]/Table2[[#This Row],[Sales]]</f>
        <v>0.22842555022746835</v>
      </c>
    </row>
    <row r="972" spans="1:8" ht="12" customHeight="1" x14ac:dyDescent="0.3">
      <c r="A972" s="13">
        <v>2971</v>
      </c>
      <c r="B972" s="14" t="s">
        <v>295</v>
      </c>
      <c r="C972" s="13" t="s">
        <v>401</v>
      </c>
      <c r="D972" s="13" t="s">
        <v>408</v>
      </c>
      <c r="E972" s="13" t="s">
        <v>411</v>
      </c>
      <c r="F972" s="15">
        <v>29839</v>
      </c>
      <c r="G972" s="15">
        <v>7551.31</v>
      </c>
      <c r="H972" s="15">
        <f>Table2[[#This Row],[Profit]]/Table2[[#This Row],[Sales]]</f>
        <v>0.25306846744193839</v>
      </c>
    </row>
    <row r="973" spans="1:8" ht="12" customHeight="1" x14ac:dyDescent="0.3">
      <c r="A973" s="13">
        <v>2972</v>
      </c>
      <c r="B973" s="14" t="s">
        <v>236</v>
      </c>
      <c r="C973" s="13" t="s">
        <v>404</v>
      </c>
      <c r="D973" s="13" t="s">
        <v>405</v>
      </c>
      <c r="E973" s="13" t="s">
        <v>411</v>
      </c>
      <c r="F973" s="15">
        <v>27900</v>
      </c>
      <c r="G973" s="15">
        <v>4622.92</v>
      </c>
      <c r="H973" s="15">
        <f>Table2[[#This Row],[Profit]]/Table2[[#This Row],[Sales]]</f>
        <v>0.16569605734767026</v>
      </c>
    </row>
    <row r="974" spans="1:8" ht="12" customHeight="1" x14ac:dyDescent="0.3">
      <c r="A974" s="13">
        <v>2973</v>
      </c>
      <c r="B974" s="14" t="s">
        <v>28</v>
      </c>
      <c r="C974" s="13" t="s">
        <v>402</v>
      </c>
      <c r="D974" s="13" t="s">
        <v>408</v>
      </c>
      <c r="E974" s="13" t="s">
        <v>412</v>
      </c>
      <c r="F974" s="15">
        <v>17763</v>
      </c>
      <c r="G974" s="15">
        <v>3286.62</v>
      </c>
      <c r="H974" s="15">
        <f>Table2[[#This Row],[Profit]]/Table2[[#This Row],[Sales]]</f>
        <v>0.18502617801047119</v>
      </c>
    </row>
    <row r="975" spans="1:8" ht="12" customHeight="1" x14ac:dyDescent="0.3">
      <c r="A975" s="13">
        <v>2974</v>
      </c>
      <c r="B975" s="14" t="s">
        <v>55</v>
      </c>
      <c r="C975" s="13" t="s">
        <v>404</v>
      </c>
      <c r="D975" s="13" t="s">
        <v>406</v>
      </c>
      <c r="E975" s="13" t="s">
        <v>413</v>
      </c>
      <c r="F975" s="15">
        <v>13454</v>
      </c>
      <c r="G975" s="15">
        <v>1501.3</v>
      </c>
      <c r="H975" s="15">
        <f>Table2[[#This Row],[Profit]]/Table2[[#This Row],[Sales]]</f>
        <v>0.11158763193102422</v>
      </c>
    </row>
    <row r="976" spans="1:8" ht="12" customHeight="1" x14ac:dyDescent="0.3">
      <c r="A976" s="13">
        <v>2975</v>
      </c>
      <c r="B976" s="14" t="s">
        <v>313</v>
      </c>
      <c r="C976" s="13" t="s">
        <v>401</v>
      </c>
      <c r="D976" s="13" t="s">
        <v>406</v>
      </c>
      <c r="E976" s="13" t="s">
        <v>411</v>
      </c>
      <c r="F976" s="15">
        <v>2428</v>
      </c>
      <c r="G976" s="15">
        <v>600.84</v>
      </c>
      <c r="H976" s="15">
        <f>Table2[[#This Row],[Profit]]/Table2[[#This Row],[Sales]]</f>
        <v>0.24746293245469522</v>
      </c>
    </row>
    <row r="977" spans="1:8" ht="12" customHeight="1" x14ac:dyDescent="0.3">
      <c r="A977" s="13">
        <v>2976</v>
      </c>
      <c r="B977" s="14" t="s">
        <v>396</v>
      </c>
      <c r="C977" s="13" t="s">
        <v>403</v>
      </c>
      <c r="D977" s="13" t="s">
        <v>406</v>
      </c>
      <c r="E977" s="13" t="s">
        <v>413</v>
      </c>
      <c r="F977" s="15">
        <v>11060</v>
      </c>
      <c r="G977" s="15">
        <v>2571.37</v>
      </c>
      <c r="H977" s="15">
        <f>Table2[[#This Row],[Profit]]/Table2[[#This Row],[Sales]]</f>
        <v>0.23249276672694394</v>
      </c>
    </row>
    <row r="978" spans="1:8" ht="12" customHeight="1" x14ac:dyDescent="0.3">
      <c r="A978" s="13">
        <v>2977</v>
      </c>
      <c r="B978" s="14" t="s">
        <v>277</v>
      </c>
      <c r="C978" s="13" t="s">
        <v>402</v>
      </c>
      <c r="D978" s="13" t="s">
        <v>408</v>
      </c>
      <c r="E978" s="13" t="s">
        <v>412</v>
      </c>
      <c r="F978" s="15">
        <v>22160</v>
      </c>
      <c r="G978" s="15">
        <v>6202.37</v>
      </c>
      <c r="H978" s="15">
        <f>Table2[[#This Row],[Profit]]/Table2[[#This Row],[Sales]]</f>
        <v>0.27989034296028881</v>
      </c>
    </row>
    <row r="979" spans="1:8" ht="12" customHeight="1" x14ac:dyDescent="0.3">
      <c r="A979" s="13">
        <v>2978</v>
      </c>
      <c r="B979" s="14" t="s">
        <v>105</v>
      </c>
      <c r="C979" s="13" t="s">
        <v>402</v>
      </c>
      <c r="D979" s="13" t="s">
        <v>410</v>
      </c>
      <c r="E979" s="13" t="s">
        <v>412</v>
      </c>
      <c r="F979" s="15">
        <v>18771</v>
      </c>
      <c r="G979" s="15">
        <v>4761.16</v>
      </c>
      <c r="H979" s="15">
        <f>Table2[[#This Row],[Profit]]/Table2[[#This Row],[Sales]]</f>
        <v>0.25364445154760001</v>
      </c>
    </row>
    <row r="980" spans="1:8" ht="12" customHeight="1" x14ac:dyDescent="0.3">
      <c r="A980" s="13">
        <v>2979</v>
      </c>
      <c r="B980" s="14" t="s">
        <v>196</v>
      </c>
      <c r="C980" s="13" t="s">
        <v>401</v>
      </c>
      <c r="D980" s="13" t="s">
        <v>406</v>
      </c>
      <c r="E980" s="13" t="s">
        <v>412</v>
      </c>
      <c r="F980" s="15">
        <v>17766</v>
      </c>
      <c r="G980" s="15">
        <v>1698.87</v>
      </c>
      <c r="H980" s="15">
        <f>Table2[[#This Row],[Profit]]/Table2[[#This Row],[Sales]]</f>
        <v>9.5624788922661255E-2</v>
      </c>
    </row>
    <row r="981" spans="1:8" ht="12" customHeight="1" x14ac:dyDescent="0.3">
      <c r="A981" s="13">
        <v>2980</v>
      </c>
      <c r="B981" s="14" t="s">
        <v>312</v>
      </c>
      <c r="C981" s="13" t="s">
        <v>402</v>
      </c>
      <c r="D981" s="13" t="s">
        <v>409</v>
      </c>
      <c r="E981" s="13" t="s">
        <v>411</v>
      </c>
      <c r="F981" s="15">
        <v>1880</v>
      </c>
      <c r="G981" s="15">
        <v>454.57</v>
      </c>
      <c r="H981" s="15">
        <f>Table2[[#This Row],[Profit]]/Table2[[#This Row],[Sales]]</f>
        <v>0.24179255319148935</v>
      </c>
    </row>
    <row r="982" spans="1:8" ht="12" customHeight="1" x14ac:dyDescent="0.3">
      <c r="A982" s="13">
        <v>2981</v>
      </c>
      <c r="B982" s="14" t="s">
        <v>270</v>
      </c>
      <c r="C982" s="13" t="s">
        <v>404</v>
      </c>
      <c r="D982" s="13" t="s">
        <v>410</v>
      </c>
      <c r="E982" s="13" t="s">
        <v>412</v>
      </c>
      <c r="F982" s="15">
        <v>23574</v>
      </c>
      <c r="G982" s="15">
        <v>6266.65</v>
      </c>
      <c r="H982" s="15">
        <f>Table2[[#This Row],[Profit]]/Table2[[#This Row],[Sales]]</f>
        <v>0.26582887927377619</v>
      </c>
    </row>
    <row r="983" spans="1:8" ht="12" customHeight="1" x14ac:dyDescent="0.3">
      <c r="A983" s="13">
        <v>2982</v>
      </c>
      <c r="B983" s="14" t="s">
        <v>227</v>
      </c>
      <c r="C983" s="13" t="s">
        <v>403</v>
      </c>
      <c r="D983" s="13" t="s">
        <v>406</v>
      </c>
      <c r="E983" s="13" t="s">
        <v>413</v>
      </c>
      <c r="F983" s="15">
        <v>9592</v>
      </c>
      <c r="G983" s="15">
        <v>1221.55</v>
      </c>
      <c r="H983" s="15">
        <f>Table2[[#This Row],[Profit]]/Table2[[#This Row],[Sales]]</f>
        <v>0.12735091743119265</v>
      </c>
    </row>
    <row r="984" spans="1:8" ht="12" customHeight="1" x14ac:dyDescent="0.3">
      <c r="A984" s="13">
        <v>2983</v>
      </c>
      <c r="B984" s="14" t="s">
        <v>67</v>
      </c>
      <c r="C984" s="13" t="s">
        <v>402</v>
      </c>
      <c r="D984" s="13" t="s">
        <v>405</v>
      </c>
      <c r="E984" s="13" t="s">
        <v>413</v>
      </c>
      <c r="F984" s="15">
        <v>25663</v>
      </c>
      <c r="G984" s="15">
        <v>4996.93</v>
      </c>
      <c r="H984" s="15">
        <f>Table2[[#This Row],[Profit]]/Table2[[#This Row],[Sales]]</f>
        <v>0.19471340061567238</v>
      </c>
    </row>
    <row r="985" spans="1:8" ht="12" customHeight="1" x14ac:dyDescent="0.3">
      <c r="A985" s="13">
        <v>2984</v>
      </c>
      <c r="B985" s="14" t="s">
        <v>381</v>
      </c>
      <c r="C985" s="13" t="s">
        <v>402</v>
      </c>
      <c r="D985" s="13" t="s">
        <v>410</v>
      </c>
      <c r="E985" s="13" t="s">
        <v>413</v>
      </c>
      <c r="F985" s="15">
        <v>9292</v>
      </c>
      <c r="G985" s="15">
        <v>2532.17</v>
      </c>
      <c r="H985" s="15">
        <f>Table2[[#This Row],[Profit]]/Table2[[#This Row],[Sales]]</f>
        <v>0.27251076194575979</v>
      </c>
    </row>
    <row r="986" spans="1:8" ht="12" customHeight="1" x14ac:dyDescent="0.3">
      <c r="A986" s="13">
        <v>2985</v>
      </c>
      <c r="B986" s="14" t="s">
        <v>193</v>
      </c>
      <c r="C986" s="13" t="s">
        <v>403</v>
      </c>
      <c r="D986" s="13" t="s">
        <v>405</v>
      </c>
      <c r="E986" s="13" t="s">
        <v>413</v>
      </c>
      <c r="F986" s="15">
        <v>5973</v>
      </c>
      <c r="G986" s="15">
        <v>1026.6099999999999</v>
      </c>
      <c r="H986" s="15">
        <f>Table2[[#This Row],[Profit]]/Table2[[#This Row],[Sales]]</f>
        <v>0.17187510463753555</v>
      </c>
    </row>
    <row r="987" spans="1:8" ht="12" customHeight="1" x14ac:dyDescent="0.3">
      <c r="A987" s="13">
        <v>2986</v>
      </c>
      <c r="B987" s="14" t="s">
        <v>279</v>
      </c>
      <c r="C987" s="13" t="s">
        <v>404</v>
      </c>
      <c r="D987" s="13" t="s">
        <v>410</v>
      </c>
      <c r="E987" s="13" t="s">
        <v>413</v>
      </c>
      <c r="F987" s="15">
        <v>29337</v>
      </c>
      <c r="G987" s="15">
        <v>4700.03</v>
      </c>
      <c r="H987" s="15">
        <f>Table2[[#This Row],[Profit]]/Table2[[#This Row],[Sales]]</f>
        <v>0.16020826942086783</v>
      </c>
    </row>
    <row r="988" spans="1:8" ht="12" customHeight="1" x14ac:dyDescent="0.3">
      <c r="A988" s="13">
        <v>2987</v>
      </c>
      <c r="B988" s="14" t="s">
        <v>144</v>
      </c>
      <c r="C988" s="13" t="s">
        <v>401</v>
      </c>
      <c r="D988" s="13" t="s">
        <v>409</v>
      </c>
      <c r="E988" s="13" t="s">
        <v>411</v>
      </c>
      <c r="F988" s="15">
        <v>28025</v>
      </c>
      <c r="G988" s="15">
        <v>4455.05</v>
      </c>
      <c r="H988" s="15">
        <f>Table2[[#This Row],[Profit]]/Table2[[#This Row],[Sales]]</f>
        <v>0.15896699375557538</v>
      </c>
    </row>
    <row r="989" spans="1:8" ht="12" customHeight="1" x14ac:dyDescent="0.3">
      <c r="A989" s="13">
        <v>2988</v>
      </c>
      <c r="B989" s="14" t="s">
        <v>321</v>
      </c>
      <c r="C989" s="13" t="s">
        <v>402</v>
      </c>
      <c r="D989" s="13" t="s">
        <v>408</v>
      </c>
      <c r="E989" s="13" t="s">
        <v>411</v>
      </c>
      <c r="F989" s="15">
        <v>20091</v>
      </c>
      <c r="G989" s="15">
        <v>5070.6499999999996</v>
      </c>
      <c r="H989" s="15">
        <f>Table2[[#This Row],[Profit]]/Table2[[#This Row],[Sales]]</f>
        <v>0.25238415210790899</v>
      </c>
    </row>
    <row r="990" spans="1:8" ht="12" customHeight="1" x14ac:dyDescent="0.3">
      <c r="A990" s="13">
        <v>2989</v>
      </c>
      <c r="B990" s="14" t="s">
        <v>110</v>
      </c>
      <c r="C990" s="13" t="s">
        <v>401</v>
      </c>
      <c r="D990" s="13" t="s">
        <v>406</v>
      </c>
      <c r="E990" s="13" t="s">
        <v>412</v>
      </c>
      <c r="F990" s="15">
        <v>20275</v>
      </c>
      <c r="G990" s="15">
        <v>3433.51</v>
      </c>
      <c r="H990" s="15">
        <f>Table2[[#This Row],[Profit]]/Table2[[#This Row],[Sales]]</f>
        <v>0.16934697903822443</v>
      </c>
    </row>
    <row r="991" spans="1:8" ht="12" customHeight="1" x14ac:dyDescent="0.3">
      <c r="A991" s="13">
        <v>2990</v>
      </c>
      <c r="B991" s="14" t="s">
        <v>323</v>
      </c>
      <c r="C991" s="13" t="s">
        <v>403</v>
      </c>
      <c r="D991" s="13" t="s">
        <v>405</v>
      </c>
      <c r="E991" s="13" t="s">
        <v>411</v>
      </c>
      <c r="F991" s="15">
        <v>23881</v>
      </c>
      <c r="G991" s="15">
        <v>2024.85</v>
      </c>
      <c r="H991" s="15">
        <f>Table2[[#This Row],[Profit]]/Table2[[#This Row],[Sales]]</f>
        <v>8.47891629328755E-2</v>
      </c>
    </row>
    <row r="992" spans="1:8" ht="12" customHeight="1" x14ac:dyDescent="0.3">
      <c r="A992" s="13">
        <v>2991</v>
      </c>
      <c r="B992" s="14" t="s">
        <v>397</v>
      </c>
      <c r="C992" s="13" t="s">
        <v>402</v>
      </c>
      <c r="D992" s="13" t="s">
        <v>405</v>
      </c>
      <c r="E992" s="13" t="s">
        <v>412</v>
      </c>
      <c r="F992" s="15">
        <v>25832</v>
      </c>
      <c r="G992" s="15">
        <v>4870.2</v>
      </c>
      <c r="H992" s="15">
        <f>Table2[[#This Row],[Profit]]/Table2[[#This Row],[Sales]]</f>
        <v>0.18853360173428305</v>
      </c>
    </row>
    <row r="993" spans="1:8" ht="12" customHeight="1" x14ac:dyDescent="0.3">
      <c r="A993" s="13">
        <v>2992</v>
      </c>
      <c r="B993" s="14" t="s">
        <v>398</v>
      </c>
      <c r="C993" s="13" t="s">
        <v>402</v>
      </c>
      <c r="D993" s="13" t="s">
        <v>409</v>
      </c>
      <c r="E993" s="13" t="s">
        <v>411</v>
      </c>
      <c r="F993" s="15">
        <v>7015</v>
      </c>
      <c r="G993" s="15">
        <v>1654.64</v>
      </c>
      <c r="H993" s="15">
        <f>Table2[[#This Row],[Profit]]/Table2[[#This Row],[Sales]]</f>
        <v>0.23587170349251604</v>
      </c>
    </row>
    <row r="994" spans="1:8" ht="12" customHeight="1" x14ac:dyDescent="0.3">
      <c r="A994" s="13">
        <v>2993</v>
      </c>
      <c r="B994" s="14" t="s">
        <v>274</v>
      </c>
      <c r="C994" s="13" t="s">
        <v>403</v>
      </c>
      <c r="D994" s="13" t="s">
        <v>407</v>
      </c>
      <c r="E994" s="13" t="s">
        <v>412</v>
      </c>
      <c r="F994" s="15">
        <v>13110</v>
      </c>
      <c r="G994" s="15">
        <v>1692.77</v>
      </c>
      <c r="H994" s="15">
        <f>Table2[[#This Row],[Profit]]/Table2[[#This Row],[Sales]]</f>
        <v>0.1291205186880244</v>
      </c>
    </row>
    <row r="995" spans="1:8" ht="12" customHeight="1" x14ac:dyDescent="0.3">
      <c r="A995" s="13">
        <v>2994</v>
      </c>
      <c r="B995" s="14" t="s">
        <v>399</v>
      </c>
      <c r="C995" s="13" t="s">
        <v>401</v>
      </c>
      <c r="D995" s="13" t="s">
        <v>407</v>
      </c>
      <c r="E995" s="13" t="s">
        <v>413</v>
      </c>
      <c r="F995" s="15">
        <v>24678</v>
      </c>
      <c r="G995" s="15">
        <v>5697.33</v>
      </c>
      <c r="H995" s="15">
        <f>Table2[[#This Row],[Profit]]/Table2[[#This Row],[Sales]]</f>
        <v>0.23086676391928032</v>
      </c>
    </row>
    <row r="996" spans="1:8" ht="12" customHeight="1" x14ac:dyDescent="0.3">
      <c r="A996" s="13">
        <v>2995</v>
      </c>
      <c r="B996" s="14" t="s">
        <v>400</v>
      </c>
      <c r="C996" s="13" t="s">
        <v>401</v>
      </c>
      <c r="D996" s="13" t="s">
        <v>407</v>
      </c>
      <c r="E996" s="13" t="s">
        <v>411</v>
      </c>
      <c r="F996" s="15">
        <v>6400</v>
      </c>
      <c r="G996" s="15">
        <v>858.57</v>
      </c>
      <c r="H996" s="15">
        <f>Table2[[#This Row],[Profit]]/Table2[[#This Row],[Sales]]</f>
        <v>0.13415156250000002</v>
      </c>
    </row>
    <row r="997" spans="1:8" ht="12" customHeight="1" x14ac:dyDescent="0.3">
      <c r="A997" s="13">
        <v>2996</v>
      </c>
      <c r="B997" s="14" t="s">
        <v>293</v>
      </c>
      <c r="C997" s="13" t="s">
        <v>401</v>
      </c>
      <c r="D997" s="13" t="s">
        <v>407</v>
      </c>
      <c r="E997" s="13" t="s">
        <v>413</v>
      </c>
      <c r="F997" s="15">
        <v>15198</v>
      </c>
      <c r="G997" s="15">
        <v>4023.24</v>
      </c>
      <c r="H997" s="15">
        <f>Table2[[#This Row],[Profit]]/Table2[[#This Row],[Sales]]</f>
        <v>0.26472167390446111</v>
      </c>
    </row>
    <row r="998" spans="1:8" ht="12" customHeight="1" x14ac:dyDescent="0.3">
      <c r="A998" s="13">
        <v>2997</v>
      </c>
      <c r="B998" s="14" t="s">
        <v>218</v>
      </c>
      <c r="C998" s="13" t="s">
        <v>404</v>
      </c>
      <c r="D998" s="13" t="s">
        <v>410</v>
      </c>
      <c r="E998" s="13" t="s">
        <v>413</v>
      </c>
      <c r="F998" s="15">
        <v>10910</v>
      </c>
      <c r="G998" s="15">
        <v>3099.89</v>
      </c>
      <c r="H998" s="15">
        <f>Table2[[#This Row],[Profit]]/Table2[[#This Row],[Sales]]</f>
        <v>0.28413290559120075</v>
      </c>
    </row>
    <row r="999" spans="1:8" ht="12" customHeight="1" x14ac:dyDescent="0.3">
      <c r="A999" s="13">
        <v>2998</v>
      </c>
      <c r="B999" s="14" t="s">
        <v>325</v>
      </c>
      <c r="C999" s="13" t="s">
        <v>403</v>
      </c>
      <c r="D999" s="13" t="s">
        <v>406</v>
      </c>
      <c r="E999" s="13" t="s">
        <v>412</v>
      </c>
      <c r="F999" s="15">
        <v>12485</v>
      </c>
      <c r="G999" s="15">
        <v>1152.95</v>
      </c>
      <c r="H999" s="15">
        <f>Table2[[#This Row],[Profit]]/Table2[[#This Row],[Sales]]</f>
        <v>9.23468161794153E-2</v>
      </c>
    </row>
    <row r="1000" spans="1:8" ht="12" customHeight="1" x14ac:dyDescent="0.3">
      <c r="A1000" s="13">
        <v>2999</v>
      </c>
      <c r="B1000" s="14" t="s">
        <v>188</v>
      </c>
      <c r="C1000" s="13" t="s">
        <v>403</v>
      </c>
      <c r="D1000" s="13" t="s">
        <v>407</v>
      </c>
      <c r="E1000" s="13" t="s">
        <v>413</v>
      </c>
      <c r="F1000" s="15">
        <v>1838</v>
      </c>
      <c r="G1000" s="15">
        <v>320.66000000000003</v>
      </c>
      <c r="H1000" s="15">
        <f>Table2[[#This Row],[Profit]]/Table2[[#This Row],[Sales]]</f>
        <v>0.17446137105549511</v>
      </c>
    </row>
    <row r="1001" spans="1:8" ht="12" customHeight="1" x14ac:dyDescent="0.3">
      <c r="A1001" s="13">
        <v>3000</v>
      </c>
      <c r="B1001" s="14" t="s">
        <v>317</v>
      </c>
      <c r="C1001" s="13" t="s">
        <v>401</v>
      </c>
      <c r="D1001" s="13" t="s">
        <v>405</v>
      </c>
      <c r="E1001" s="13" t="s">
        <v>412</v>
      </c>
      <c r="F1001" s="15">
        <v>6903</v>
      </c>
      <c r="G1001" s="15">
        <v>1333.37</v>
      </c>
      <c r="H1001" s="15">
        <f>Table2[[#This Row],[Profit]]/Table2[[#This Row],[Sales]]</f>
        <v>0.19315804722584382</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530E8-FE0D-4E61-A621-1D3AF16E7A11}">
  <dimension ref="B1:G33"/>
  <sheetViews>
    <sheetView workbookViewId="0">
      <selection activeCell="I17" sqref="I17"/>
    </sheetView>
  </sheetViews>
  <sheetFormatPr defaultRowHeight="14.4" x14ac:dyDescent="0.3"/>
  <cols>
    <col min="1" max="1" width="11.5546875" customWidth="1"/>
    <col min="2" max="2" width="12.88671875" bestFit="1" customWidth="1"/>
    <col min="3" max="3" width="9.5546875" bestFit="1" customWidth="1"/>
    <col min="4" max="4" width="10.77734375" bestFit="1" customWidth="1"/>
    <col min="5" max="5" width="11.6640625" bestFit="1" customWidth="1"/>
    <col min="6" max="7" width="10.77734375" bestFit="1" customWidth="1"/>
    <col min="8" max="8" width="11.44140625" bestFit="1" customWidth="1"/>
    <col min="9" max="9" width="10.77734375" bestFit="1" customWidth="1"/>
    <col min="10" max="10" width="18.77734375" bestFit="1" customWidth="1"/>
    <col min="11" max="11" width="15.5546875" bestFit="1" customWidth="1"/>
    <col min="12" max="14" width="9" bestFit="1" customWidth="1"/>
    <col min="15" max="15" width="10.77734375" bestFit="1" customWidth="1"/>
    <col min="16" max="16" width="18.77734375" bestFit="1" customWidth="1"/>
    <col min="17" max="17" width="11.6640625" bestFit="1" customWidth="1"/>
    <col min="18" max="18" width="18.77734375" bestFit="1" customWidth="1"/>
    <col min="19" max="19" width="16.44140625" bestFit="1" customWidth="1"/>
    <col min="20" max="20" width="23.5546875" bestFit="1" customWidth="1"/>
  </cols>
  <sheetData>
    <row r="1" spans="2:7" ht="21" x14ac:dyDescent="0.4">
      <c r="C1" s="21" t="s">
        <v>430</v>
      </c>
      <c r="D1" s="21"/>
      <c r="E1" s="21"/>
      <c r="F1" s="21"/>
    </row>
    <row r="2" spans="2:7" x14ac:dyDescent="0.3">
      <c r="F2" s="20"/>
      <c r="G2" s="20"/>
    </row>
    <row r="3" spans="2:7" ht="15" thickBot="1" x14ac:dyDescent="0.35">
      <c r="D3" s="22" t="s">
        <v>424</v>
      </c>
      <c r="E3" s="22"/>
    </row>
    <row r="4" spans="2:7" ht="15" thickBot="1" x14ac:dyDescent="0.35">
      <c r="D4" s="16" t="s">
        <v>414</v>
      </c>
      <c r="E4" s="17" t="s">
        <v>416</v>
      </c>
    </row>
    <row r="5" spans="2:7" ht="15" thickBot="1" x14ac:dyDescent="0.35">
      <c r="D5" s="18" t="s">
        <v>407</v>
      </c>
      <c r="E5" s="17">
        <v>2964061</v>
      </c>
    </row>
    <row r="6" spans="2:7" ht="15" thickBot="1" x14ac:dyDescent="0.35">
      <c r="D6" s="18" t="s">
        <v>406</v>
      </c>
      <c r="E6" s="17">
        <v>2761255</v>
      </c>
    </row>
    <row r="7" spans="2:7" ht="15" thickBot="1" x14ac:dyDescent="0.35">
      <c r="D7" s="18" t="s">
        <v>409</v>
      </c>
      <c r="E7" s="17">
        <v>2595822</v>
      </c>
    </row>
    <row r="8" spans="2:7" ht="15" thickBot="1" x14ac:dyDescent="0.35">
      <c r="D8" s="18" t="s">
        <v>410</v>
      </c>
      <c r="E8" s="17">
        <v>2565497</v>
      </c>
    </row>
    <row r="9" spans="2:7" ht="15" thickBot="1" x14ac:dyDescent="0.35">
      <c r="D9" s="18" t="s">
        <v>408</v>
      </c>
      <c r="E9" s="17">
        <v>2504575</v>
      </c>
    </row>
    <row r="10" spans="2:7" ht="15" thickBot="1" x14ac:dyDescent="0.35">
      <c r="D10" s="18" t="s">
        <v>405</v>
      </c>
      <c r="E10" s="17">
        <v>2338819</v>
      </c>
    </row>
    <row r="11" spans="2:7" ht="15" thickBot="1" x14ac:dyDescent="0.35">
      <c r="D11" s="18" t="s">
        <v>415</v>
      </c>
      <c r="E11" s="17">
        <v>15730029</v>
      </c>
    </row>
    <row r="14" spans="2:7" ht="15" thickBot="1" x14ac:dyDescent="0.35">
      <c r="C14" s="22" t="s">
        <v>425</v>
      </c>
      <c r="D14" s="22"/>
      <c r="E14" s="22"/>
    </row>
    <row r="15" spans="2:7" ht="15" thickBot="1" x14ac:dyDescent="0.35">
      <c r="B15" s="16" t="s">
        <v>416</v>
      </c>
      <c r="C15" s="16" t="s">
        <v>428</v>
      </c>
      <c r="D15" s="17"/>
      <c r="E15" s="17"/>
      <c r="F15" s="17"/>
    </row>
    <row r="16" spans="2:7" ht="15" thickBot="1" x14ac:dyDescent="0.35">
      <c r="B16" s="16" t="s">
        <v>414</v>
      </c>
      <c r="C16" s="17" t="s">
        <v>413</v>
      </c>
      <c r="D16" s="17" t="s">
        <v>411</v>
      </c>
      <c r="E16" s="17" t="s">
        <v>412</v>
      </c>
      <c r="F16" s="17" t="s">
        <v>415</v>
      </c>
    </row>
    <row r="17" spans="2:7" ht="15" thickBot="1" x14ac:dyDescent="0.35">
      <c r="B17" s="18" t="s">
        <v>401</v>
      </c>
      <c r="C17" s="17">
        <v>1531948</v>
      </c>
      <c r="D17" s="17">
        <v>1555943</v>
      </c>
      <c r="E17" s="17">
        <v>1323926</v>
      </c>
      <c r="F17" s="17">
        <v>4411817</v>
      </c>
    </row>
    <row r="18" spans="2:7" ht="15" thickBot="1" x14ac:dyDescent="0.35">
      <c r="B18" s="18" t="s">
        <v>402</v>
      </c>
      <c r="C18" s="17">
        <v>1557802</v>
      </c>
      <c r="D18" s="17">
        <v>1442061</v>
      </c>
      <c r="E18" s="17">
        <v>1360877</v>
      </c>
      <c r="F18" s="17">
        <v>4360740</v>
      </c>
    </row>
    <row r="19" spans="2:7" ht="15" thickBot="1" x14ac:dyDescent="0.35">
      <c r="B19" s="18" t="s">
        <v>404</v>
      </c>
      <c r="C19" s="17">
        <v>1282840</v>
      </c>
      <c r="D19" s="17">
        <v>1134523</v>
      </c>
      <c r="E19" s="17">
        <v>1234713</v>
      </c>
      <c r="F19" s="17">
        <v>3652076</v>
      </c>
    </row>
    <row r="20" spans="2:7" ht="15" thickBot="1" x14ac:dyDescent="0.35">
      <c r="B20" s="18" t="s">
        <v>403</v>
      </c>
      <c r="C20" s="17">
        <v>1283778</v>
      </c>
      <c r="D20" s="17">
        <v>1103316</v>
      </c>
      <c r="E20" s="17">
        <v>918302</v>
      </c>
      <c r="F20" s="17">
        <v>3305396</v>
      </c>
    </row>
    <row r="21" spans="2:7" ht="15" thickBot="1" x14ac:dyDescent="0.35">
      <c r="B21" s="18" t="s">
        <v>415</v>
      </c>
      <c r="C21" s="17">
        <v>5656368</v>
      </c>
      <c r="D21" s="17">
        <v>5235843</v>
      </c>
      <c r="E21" s="17">
        <v>4837818</v>
      </c>
      <c r="F21" s="17">
        <v>15730029</v>
      </c>
    </row>
    <row r="24" spans="2:7" ht="15" thickBot="1" x14ac:dyDescent="0.35">
      <c r="C24" s="22" t="s">
        <v>426</v>
      </c>
      <c r="D24" s="22"/>
      <c r="E24" s="22"/>
      <c r="F24" s="22"/>
    </row>
    <row r="25" spans="2:7" ht="15" thickBot="1" x14ac:dyDescent="0.35">
      <c r="B25" s="16" t="s">
        <v>427</v>
      </c>
      <c r="C25" s="16" t="s">
        <v>429</v>
      </c>
      <c r="D25" s="17"/>
      <c r="E25" s="17"/>
      <c r="F25" s="17"/>
      <c r="G25" s="17"/>
    </row>
    <row r="26" spans="2:7" ht="15" thickBot="1" x14ac:dyDescent="0.35">
      <c r="B26" s="16" t="s">
        <v>414</v>
      </c>
      <c r="C26" s="17" t="s">
        <v>404</v>
      </c>
      <c r="D26" s="17" t="s">
        <v>401</v>
      </c>
      <c r="E26" s="17" t="s">
        <v>403</v>
      </c>
      <c r="F26" s="17" t="s">
        <v>402</v>
      </c>
      <c r="G26" s="17" t="s">
        <v>415</v>
      </c>
    </row>
    <row r="27" spans="2:7" ht="15" thickBot="1" x14ac:dyDescent="0.35">
      <c r="B27" s="18" t="s">
        <v>405</v>
      </c>
      <c r="C27" s="19">
        <v>8.0419068767358812</v>
      </c>
      <c r="D27" s="19">
        <v>6.4156020209741378</v>
      </c>
      <c r="E27" s="19">
        <v>6.2512907017501549</v>
      </c>
      <c r="F27" s="19">
        <v>7.3939422277625217</v>
      </c>
      <c r="G27" s="19">
        <v>28.102741827222697</v>
      </c>
    </row>
    <row r="28" spans="2:7" ht="15" thickBot="1" x14ac:dyDescent="0.35">
      <c r="B28" s="18" t="s">
        <v>406</v>
      </c>
      <c r="C28" s="19">
        <v>6.4794087126748421</v>
      </c>
      <c r="D28" s="19">
        <v>8.8535013976978352</v>
      </c>
      <c r="E28" s="19">
        <v>6.6672026555561876</v>
      </c>
      <c r="F28" s="19">
        <v>9.8084289142240557</v>
      </c>
      <c r="G28" s="19">
        <v>31.808541680152921</v>
      </c>
    </row>
    <row r="29" spans="2:7" ht="15" thickBot="1" x14ac:dyDescent="0.35">
      <c r="B29" s="18" t="s">
        <v>407</v>
      </c>
      <c r="C29" s="19">
        <v>7.5522396719875866</v>
      </c>
      <c r="D29" s="19">
        <v>8.8928846818279741</v>
      </c>
      <c r="E29" s="19">
        <v>9.0243748332453002</v>
      </c>
      <c r="F29" s="19">
        <v>11.393213489421504</v>
      </c>
      <c r="G29" s="19">
        <v>36.862712676482367</v>
      </c>
    </row>
    <row r="30" spans="2:7" ht="15" thickBot="1" x14ac:dyDescent="0.35">
      <c r="B30" s="18" t="s">
        <v>410</v>
      </c>
      <c r="C30" s="19">
        <v>8.4109795572563222</v>
      </c>
      <c r="D30" s="19">
        <v>7.5506967812860246</v>
      </c>
      <c r="E30" s="19">
        <v>7.836931453109286</v>
      </c>
      <c r="F30" s="19">
        <v>8.2825385546488093</v>
      </c>
      <c r="G30" s="19">
        <v>32.081146346300443</v>
      </c>
    </row>
    <row r="31" spans="2:7" ht="15" thickBot="1" x14ac:dyDescent="0.35">
      <c r="B31" s="18" t="s">
        <v>409</v>
      </c>
      <c r="C31" s="19">
        <v>7.679173995462242</v>
      </c>
      <c r="D31" s="19">
        <v>9.7409634815760562</v>
      </c>
      <c r="E31" s="19">
        <v>4.3046066685610791</v>
      </c>
      <c r="F31" s="19">
        <v>8.8952107829735514</v>
      </c>
      <c r="G31" s="19">
        <v>30.61995492857293</v>
      </c>
    </row>
    <row r="32" spans="2:7" ht="15" thickBot="1" x14ac:dyDescent="0.35">
      <c r="B32" s="18" t="s">
        <v>408</v>
      </c>
      <c r="C32" s="19">
        <v>7.3637992802047476</v>
      </c>
      <c r="D32" s="19">
        <v>9.9895268094502363</v>
      </c>
      <c r="E32" s="19">
        <v>6.6948309991625052</v>
      </c>
      <c r="F32" s="19">
        <v>8.7090676486388574</v>
      </c>
      <c r="G32" s="19">
        <v>32.757224737456347</v>
      </c>
    </row>
    <row r="33" spans="2:7" ht="15" thickBot="1" x14ac:dyDescent="0.35">
      <c r="B33" s="18" t="s">
        <v>415</v>
      </c>
      <c r="C33" s="19">
        <v>45.527508094321618</v>
      </c>
      <c r="D33" s="19">
        <v>51.443175172812261</v>
      </c>
      <c r="E33" s="19">
        <v>40.779237311384513</v>
      </c>
      <c r="F33" s="19">
        <v>54.482401617669296</v>
      </c>
      <c r="G33" s="19">
        <v>192.23232219618768</v>
      </c>
    </row>
  </sheetData>
  <mergeCells count="4">
    <mergeCell ref="C1:F1"/>
    <mergeCell ref="C14:E14"/>
    <mergeCell ref="D3:E3"/>
    <mergeCell ref="C24:F24"/>
  </mergeCells>
  <conditionalFormatting sqref="B17">
    <cfRule type="colorScale" priority="3">
      <colorScale>
        <cfvo type="min"/>
        <cfvo type="percentile" val="50"/>
        <cfvo type="max"/>
        <color rgb="FFF8696B"/>
        <color rgb="FFFFEB84"/>
        <color rgb="FF63BE7B"/>
      </colorScale>
    </cfRule>
  </conditionalFormatting>
  <conditionalFormatting sqref="B17:B20">
    <cfRule type="colorScale" priority="1">
      <colorScale>
        <cfvo type="min"/>
        <cfvo type="max"/>
        <color rgb="FFFCFCFF"/>
        <color rgb="FF63BE7B"/>
      </colorScale>
    </cfRule>
    <cfRule type="colorScale" priority="2">
      <colorScale>
        <cfvo type="min"/>
        <cfvo type="max"/>
        <color rgb="FFFCFCFF"/>
        <color rgb="FF63BE7B"/>
      </colorScale>
    </cfRule>
  </conditionalFormatting>
  <pageMargins left="0.7" right="0.7" top="0.75" bottom="0.75" header="0.3" footer="0.3"/>
  <pageSetup orientation="portrait"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04892-DD26-4C21-A743-3783AFE5E8F3}">
  <dimension ref="A2:T36"/>
  <sheetViews>
    <sheetView zoomScale="72" workbookViewId="0">
      <selection activeCell="V20" sqref="V20"/>
    </sheetView>
  </sheetViews>
  <sheetFormatPr defaultRowHeight="14.4" x14ac:dyDescent="0.3"/>
  <sheetData>
    <row r="2" spans="1:20" x14ac:dyDescent="0.3">
      <c r="A2" s="3"/>
      <c r="B2" s="1"/>
      <c r="C2" s="1"/>
      <c r="D2" s="1"/>
      <c r="E2" s="1"/>
      <c r="F2" s="1"/>
      <c r="G2" s="1"/>
      <c r="H2" s="1"/>
      <c r="I2" s="1"/>
      <c r="J2" s="1"/>
      <c r="K2" s="1"/>
      <c r="L2" s="1"/>
      <c r="M2" s="1"/>
      <c r="N2" s="1"/>
      <c r="O2" s="1"/>
      <c r="P2" s="1"/>
      <c r="Q2" s="1"/>
      <c r="R2" s="1"/>
      <c r="S2" s="1"/>
      <c r="T2" s="4"/>
    </row>
    <row r="3" spans="1:20" ht="33" customHeight="1" x14ac:dyDescent="0.3">
      <c r="A3" s="5"/>
      <c r="E3" s="23" t="s">
        <v>423</v>
      </c>
      <c r="F3" s="23"/>
      <c r="G3" s="23"/>
      <c r="H3" s="23"/>
      <c r="I3" s="23"/>
      <c r="J3" s="23"/>
      <c r="K3" s="23"/>
      <c r="L3" s="23"/>
      <c r="M3" s="23"/>
      <c r="N3" s="23"/>
      <c r="O3" s="23"/>
      <c r="P3" s="23"/>
      <c r="T3" s="6"/>
    </row>
    <row r="4" spans="1:20" x14ac:dyDescent="0.3">
      <c r="A4" s="5"/>
      <c r="T4" s="6"/>
    </row>
    <row r="5" spans="1:20" x14ac:dyDescent="0.3">
      <c r="A5" s="5"/>
      <c r="T5" s="6"/>
    </row>
    <row r="6" spans="1:20" x14ac:dyDescent="0.3">
      <c r="A6" s="5"/>
      <c r="T6" s="6"/>
    </row>
    <row r="7" spans="1:20" x14ac:dyDescent="0.3">
      <c r="A7" s="5"/>
      <c r="T7" s="6"/>
    </row>
    <row r="8" spans="1:20" x14ac:dyDescent="0.3">
      <c r="A8" s="5"/>
      <c r="T8" s="6"/>
    </row>
    <row r="9" spans="1:20" x14ac:dyDescent="0.3">
      <c r="A9" s="5"/>
      <c r="T9" s="6"/>
    </row>
    <row r="10" spans="1:20" x14ac:dyDescent="0.3">
      <c r="A10" s="5"/>
      <c r="T10" s="6"/>
    </row>
    <row r="11" spans="1:20" x14ac:dyDescent="0.3">
      <c r="A11" s="5"/>
      <c r="T11" s="6"/>
    </row>
    <row r="12" spans="1:20" x14ac:dyDescent="0.3">
      <c r="A12" s="5"/>
      <c r="T12" s="6"/>
    </row>
    <row r="13" spans="1:20" x14ac:dyDescent="0.3">
      <c r="A13" s="5"/>
      <c r="T13" s="6"/>
    </row>
    <row r="14" spans="1:20" x14ac:dyDescent="0.3">
      <c r="A14" s="5"/>
      <c r="T14" s="6"/>
    </row>
    <row r="15" spans="1:20" x14ac:dyDescent="0.3">
      <c r="A15" s="5"/>
      <c r="T15" s="6"/>
    </row>
    <row r="16" spans="1:20" x14ac:dyDescent="0.3">
      <c r="A16" s="5"/>
      <c r="T16" s="6"/>
    </row>
    <row r="17" spans="1:20" x14ac:dyDescent="0.3">
      <c r="A17" s="5"/>
      <c r="T17" s="6"/>
    </row>
    <row r="18" spans="1:20" x14ac:dyDescent="0.3">
      <c r="A18" s="5"/>
      <c r="T18" s="6"/>
    </row>
    <row r="19" spans="1:20" x14ac:dyDescent="0.3">
      <c r="A19" s="5"/>
      <c r="T19" s="6"/>
    </row>
    <row r="20" spans="1:20" x14ac:dyDescent="0.3">
      <c r="A20" s="5"/>
      <c r="T20" s="6"/>
    </row>
    <row r="21" spans="1:20" x14ac:dyDescent="0.3">
      <c r="A21" s="5"/>
      <c r="T21" s="6"/>
    </row>
    <row r="22" spans="1:20" x14ac:dyDescent="0.3">
      <c r="A22" s="5"/>
      <c r="T22" s="6"/>
    </row>
    <row r="23" spans="1:20" x14ac:dyDescent="0.3">
      <c r="A23" s="5"/>
      <c r="T23" s="6"/>
    </row>
    <row r="24" spans="1:20" x14ac:dyDescent="0.3">
      <c r="A24" s="5"/>
      <c r="T24" s="6"/>
    </row>
    <row r="25" spans="1:20" x14ac:dyDescent="0.3">
      <c r="A25" s="5"/>
      <c r="T25" s="6"/>
    </row>
    <row r="26" spans="1:20" x14ac:dyDescent="0.3">
      <c r="A26" s="5"/>
      <c r="T26" s="6"/>
    </row>
    <row r="27" spans="1:20" x14ac:dyDescent="0.3">
      <c r="A27" s="5"/>
      <c r="T27" s="6"/>
    </row>
    <row r="28" spans="1:20" x14ac:dyDescent="0.3">
      <c r="A28" s="5"/>
      <c r="T28" s="6"/>
    </row>
    <row r="29" spans="1:20" x14ac:dyDescent="0.3">
      <c r="A29" s="5"/>
      <c r="T29" s="6"/>
    </row>
    <row r="30" spans="1:20" x14ac:dyDescent="0.3">
      <c r="A30" s="5"/>
      <c r="T30" s="6"/>
    </row>
    <row r="31" spans="1:20" x14ac:dyDescent="0.3">
      <c r="A31" s="5"/>
      <c r="T31" s="6"/>
    </row>
    <row r="32" spans="1:20" x14ac:dyDescent="0.3">
      <c r="A32" s="5"/>
      <c r="T32" s="6"/>
    </row>
    <row r="33" spans="1:20" x14ac:dyDescent="0.3">
      <c r="A33" s="5"/>
      <c r="T33" s="6"/>
    </row>
    <row r="34" spans="1:20" x14ac:dyDescent="0.3">
      <c r="A34" s="5"/>
      <c r="T34" s="6"/>
    </row>
    <row r="35" spans="1:20" x14ac:dyDescent="0.3">
      <c r="A35" s="5"/>
      <c r="T35" s="6"/>
    </row>
    <row r="36" spans="1:20" x14ac:dyDescent="0.3">
      <c r="A36" s="7"/>
      <c r="B36" s="8"/>
      <c r="C36" s="8"/>
      <c r="D36" s="8"/>
      <c r="E36" s="8"/>
      <c r="F36" s="8"/>
      <c r="G36" s="8"/>
      <c r="H36" s="8"/>
      <c r="I36" s="8"/>
      <c r="J36" s="8"/>
      <c r="K36" s="8"/>
      <c r="L36" s="8"/>
      <c r="M36" s="8"/>
      <c r="N36" s="8"/>
      <c r="O36" s="8"/>
      <c r="P36" s="8"/>
      <c r="Q36" s="8"/>
      <c r="R36" s="8"/>
      <c r="S36" s="8"/>
      <c r="T36" s="9"/>
    </row>
  </sheetData>
  <mergeCells count="1">
    <mergeCell ref="E3:P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7670B-D68F-492F-83BB-52E9B682C094}">
  <dimension ref="A2:A10"/>
  <sheetViews>
    <sheetView workbookViewId="0">
      <selection activeCell="I9" sqref="I9"/>
    </sheetView>
  </sheetViews>
  <sheetFormatPr defaultRowHeight="14.4" x14ac:dyDescent="0.3"/>
  <sheetData>
    <row r="2" spans="1:1" x14ac:dyDescent="0.3">
      <c r="A2" s="2" t="s">
        <v>418</v>
      </c>
    </row>
    <row r="3" spans="1:1" x14ac:dyDescent="0.3">
      <c r="A3" s="2"/>
    </row>
    <row r="4" spans="1:1" x14ac:dyDescent="0.3">
      <c r="A4" s="2" t="s">
        <v>419</v>
      </c>
    </row>
    <row r="5" spans="1:1" x14ac:dyDescent="0.3">
      <c r="A5" s="2"/>
    </row>
    <row r="6" spans="1:1" x14ac:dyDescent="0.3">
      <c r="A6" s="2" t="s">
        <v>420</v>
      </c>
    </row>
    <row r="7" spans="1:1" x14ac:dyDescent="0.3">
      <c r="A7" s="2"/>
    </row>
    <row r="8" spans="1:1" x14ac:dyDescent="0.3">
      <c r="A8" s="2" t="s">
        <v>421</v>
      </c>
    </row>
    <row r="9" spans="1:1" x14ac:dyDescent="0.3">
      <c r="A9" s="2"/>
    </row>
    <row r="10" spans="1:1" x14ac:dyDescent="0.3">
      <c r="A10" s="2" t="s">
        <v>422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Pivot_Report</vt:lpstr>
      <vt:lpstr>DASHBOARD</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Siddhesh</dc:creator>
  <cp:lastModifiedBy>Siddhesh Ghagarum</cp:lastModifiedBy>
  <cp:lastPrinted>2026-01-16T11:26:36Z</cp:lastPrinted>
  <dcterms:created xsi:type="dcterms:W3CDTF">2026-01-16T10:09:27Z</dcterms:created>
  <dcterms:modified xsi:type="dcterms:W3CDTF">2026-01-16T11:42:01Z</dcterms:modified>
</cp:coreProperties>
</file>